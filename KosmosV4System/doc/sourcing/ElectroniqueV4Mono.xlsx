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fauvarq\Documents\GitHub\DocumentationsKOSMOS\KosmosV4System\doc\sourcing\"/>
    </mc:Choice>
  </mc:AlternateContent>
  <xr:revisionPtr revIDLastSave="0" documentId="13_ncr:1_{5FA983C5-DBA0-4DD7-905F-DA37169A5B96}" xr6:coauthVersionLast="47" xr6:coauthVersionMax="47" xr10:uidLastSave="{00000000-0000-0000-0000-000000000000}"/>
  <bookViews>
    <workbookView xWindow="22932" yWindow="-8400" windowWidth="30936" windowHeight="16896" tabRatio="500" xr2:uid="{00000000-000D-0000-FFFF-FFFF00000000}"/>
  </bookViews>
  <sheets>
    <sheet name="Liste_Materie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1" l="1"/>
  <c r="J34" i="1"/>
  <c r="J53" i="1"/>
  <c r="J36" i="1"/>
  <c r="J37" i="1"/>
  <c r="J33" i="1"/>
  <c r="J20" i="1"/>
  <c r="J15" i="1"/>
  <c r="J16" i="1" l="1"/>
  <c r="J17" i="1"/>
  <c r="J18" i="1"/>
  <c r="J19" i="1"/>
  <c r="J32" i="1"/>
  <c r="J31" i="1"/>
  <c r="J29" i="1"/>
  <c r="J28" i="1"/>
  <c r="J27" i="1"/>
  <c r="J60" i="1" l="1"/>
  <c r="J54" i="1"/>
  <c r="J55" i="1"/>
  <c r="J57" i="1"/>
  <c r="J58" i="1"/>
  <c r="J59" i="1"/>
  <c r="J43" i="1"/>
  <c r="J44" i="1"/>
  <c r="J45" i="1"/>
  <c r="J46" i="1"/>
  <c r="J47" i="1"/>
  <c r="J48" i="1"/>
  <c r="J49" i="1"/>
  <c r="J50" i="1"/>
  <c r="J51" i="1"/>
  <c r="J52" i="1"/>
  <c r="J6" i="1"/>
  <c r="J7" i="1"/>
  <c r="J8" i="1"/>
  <c r="J9" i="1"/>
  <c r="J10" i="1"/>
  <c r="J11" i="1"/>
  <c r="J12" i="1"/>
  <c r="J13" i="1"/>
  <c r="J14" i="1"/>
  <c r="J21" i="1"/>
  <c r="J22" i="1"/>
  <c r="J23" i="1"/>
  <c r="J24" i="1"/>
  <c r="J25" i="1"/>
  <c r="J26" i="1"/>
  <c r="J30" i="1"/>
  <c r="J38" i="1"/>
  <c r="J39" i="1"/>
  <c r="J40" i="1"/>
  <c r="J41" i="1"/>
  <c r="J42" i="1"/>
  <c r="J5" i="1"/>
  <c r="I56" i="1"/>
  <c r="J56" i="1" s="1"/>
  <c r="B1" i="1" l="1"/>
</calcChain>
</file>

<file path=xl/sharedStrings.xml><?xml version="1.0" encoding="utf-8"?>
<sst xmlns="http://schemas.openxmlformats.org/spreadsheetml/2006/main" count="257" uniqueCount="183">
  <si>
    <t>Dernière mise à jour :</t>
  </si>
  <si>
    <t>Désignation fournisseur</t>
  </si>
  <si>
    <t>Référence fournisseur</t>
  </si>
  <si>
    <t>Fournisseur</t>
  </si>
  <si>
    <t>Lien fournisseur</t>
  </si>
  <si>
    <t>Quantité</t>
  </si>
  <si>
    <t>Prix unitaire (HT)</t>
  </si>
  <si>
    <t>Prix unitaire (TTC)</t>
  </si>
  <si>
    <t>Prix total (TTC)</t>
  </si>
  <si>
    <t>Raspberry Pi</t>
  </si>
  <si>
    <t>Batterie RTC</t>
  </si>
  <si>
    <t>Batterie RTC pour Raspberry Pi 5</t>
  </si>
  <si>
    <t>Dissipateurs thermiques</t>
  </si>
  <si>
    <t>Set de 4 heat sinks aluminium</t>
  </si>
  <si>
    <t>Caméra</t>
  </si>
  <si>
    <t>Objectif caméra</t>
  </si>
  <si>
    <t>Objectif à Distance Focale Fixe Série UC 4 mm</t>
  </si>
  <si>
    <t>Edmund Optics</t>
  </si>
  <si>
    <t>http://edmundoptics.fr/p/4mm-uc-series-fixed-focal-length-lens/2966/</t>
  </si>
  <si>
    <t>Gotronic</t>
  </si>
  <si>
    <t>Carte PCB</t>
  </si>
  <si>
    <t>Epoxy brut 1 face 100 x 160 mm</t>
  </si>
  <si>
    <t>https://www.gotronic.fr/art-epoxy-brut-1-face-233.htm</t>
  </si>
  <si>
    <t>Bornier</t>
  </si>
  <si>
    <t>Bornier ARK02Z 2 contacts - 5,0 mm</t>
  </si>
  <si>
    <t>https://www.gotronic.fr/art-bornier-ark02z-39582.htm</t>
  </si>
  <si>
    <t>Module GPS</t>
  </si>
  <si>
    <t>Récepteur GPS miniature TEL0132</t>
  </si>
  <si>
    <t>https://www.gotronic.fr/art-recepteur-gps-miniature-tel0132-32438.htm</t>
  </si>
  <si>
    <t>Amazon</t>
  </si>
  <si>
    <t>Kit supports Raspberry Pi HAT</t>
  </si>
  <si>
    <t>https://www.amazon.fr/Geekworm-Raspberry-Installation-Hexagonale-Accessoires/dp/B07MN2GY6Y/ref=sr_1_21</t>
  </si>
  <si>
    <t>Cosses + pince à sertir</t>
  </si>
  <si>
    <t>Jeu de gaines thermo-rétractable</t>
  </si>
  <si>
    <t>Jeu de rilsans</t>
  </si>
  <si>
    <t>Cellules 18650 3450 mAh</t>
  </si>
  <si>
    <t>Pile rechargeable spéciale 18650 Samsung S9009316342928 résiste aux courants élevés, à tête plate Li-Ion 3.6 V 3450 mAh</t>
  </si>
  <si>
    <t>Conrad</t>
  </si>
  <si>
    <t>https://www.conrad.fr/fr/p/pile-rechargeable-speciale-18650-samsung-s9009316342928-resiste-aux-courants-eleves-a-tete-plate-li-ion-3-6-v-3450-mah-1499572.html</t>
  </si>
  <si>
    <t>BMS 3S</t>
  </si>
  <si>
    <t>Circuit de protection BMS 3S avec fonction d'équilibrage (OT3568)</t>
  </si>
  <si>
    <t>Otronic</t>
  </si>
  <si>
    <t>https://www.otronic.nl/fr/circuit-de-protection-bms-3s-avec-fonction-dequili.html</t>
  </si>
  <si>
    <t>Convertisseur 5V</t>
  </si>
  <si>
    <t>Convertisseurs SUPERNIGHT Power Supply Transformer DC DC Step Down Voltage Reducer 12V~24V vers 5V 5A 25W dc Buck Converter Adjustable pour LED displays, Automotive, Electricity ect.</t>
  </si>
  <si>
    <t>https://www.amazon.fr/Supernight-Convertisseurs-Transformer-Adjustable-Electricity/dp/B079M9CHV9</t>
  </si>
  <si>
    <t>Bande de nickel</t>
  </si>
  <si>
    <t>Plaque Nickel Bande Ruban 0,15 x 8 mm Bande de Nickel pour batterie 18650 Spot Soudure Compatible pour Spot Soudeur Mach</t>
  </si>
  <si>
    <t>https://www.amazon.fr/Plaque-batterie-Soudure-Compatible-Soudeur/dp/B09TT4KMLB</t>
  </si>
  <si>
    <t>Ruban ESD</t>
  </si>
  <si>
    <t>MMOBIEL Ruban Adhésif (20mm x 30m) - Ruban Polyimide Résistant à la Chaleur pour Sublimation Ruban de Pressage Thermique à Haute Température ESD pour HVAC Electronique Soudure Impression 3D etc.</t>
  </si>
  <si>
    <t>https://www.amazon.fr/MMOBIEL-Polyimide-longueur-Antistatique-R%C3%A9sistant/dp/B07W4KWKKB</t>
  </si>
  <si>
    <t>Câbles d’équilibrage</t>
  </si>
  <si>
    <t>Cordon JST PH femelle 4 cts JST4 vers fils - avec embase JST mâle à souder</t>
  </si>
  <si>
    <t>https://www.gotronic.fr/art-cordon-jst-ph-femelle-4-cts-jst4-22571.htm</t>
  </si>
  <si>
    <t>Support Arduino</t>
  </si>
  <si>
    <t>Connecteur FH1X16 femelle 1 x 16 pts court</t>
  </si>
  <si>
    <t>https://www.gotronic.fr/art-connecteur-fh1x16-24495.htm</t>
  </si>
  <si>
    <t>Support driver moteur</t>
  </si>
  <si>
    <t>Connnecteur FH1X8 femelle 1 x 8 pts court</t>
  </si>
  <si>
    <t>https://www.gotronic.fr/art-connnecteur-fh1x8-22734.htm</t>
  </si>
  <si>
    <t>Régulateur 5V</t>
  </si>
  <si>
    <t>Arduino Nano</t>
  </si>
  <si>
    <t>Arduino Nano A000005</t>
  </si>
  <si>
    <t>https://www.gotronic.fr/art-arduino-nano-a000005-12422.htm</t>
  </si>
  <si>
    <t>O Fauvarque</t>
  </si>
  <si>
    <t>Capteur de luminosité</t>
  </si>
  <si>
    <t>Magnétomètre</t>
  </si>
  <si>
    <t>Raspberry Pi 5 - 8GB</t>
  </si>
  <si>
    <t>Nappe caméra 15 cm</t>
  </si>
  <si>
    <t>Assortiment de 70 entretoises M2,5 et M3 ENT253P</t>
  </si>
  <si>
    <t>Assortiment Entretoise</t>
  </si>
  <si>
    <t>Jeu de 75 serre-câbles TF01</t>
  </si>
  <si>
    <t>GOTRONIC</t>
  </si>
  <si>
    <t>AMAZON</t>
  </si>
  <si>
    <t>EDMUND</t>
  </si>
  <si>
    <t>Moteur</t>
  </si>
  <si>
    <t>Video</t>
  </si>
  <si>
    <t>Caisson concerné</t>
  </si>
  <si>
    <t>L7805CV</t>
  </si>
  <si>
    <t>Batterie</t>
  </si>
  <si>
    <t>CONRAD</t>
  </si>
  <si>
    <t>Consommables</t>
  </si>
  <si>
    <t>Consommables + outil</t>
  </si>
  <si>
    <t>Vidéo</t>
  </si>
  <si>
    <t>Description KOSMOS</t>
  </si>
  <si>
    <t>02450</t>
  </si>
  <si>
    <t>https://www.amazon.fr/VCELINK-GJ671BL-Sertissage-Connecteur-Through/dp/B09BW1CFF9/ref=sr_1_4?__mk_fr_FR=%C3%85M%C3%85%C5%BD%C3%95%C3%91&amp;sr=8-4</t>
  </si>
  <si>
    <t>VCELINK GJ671BL Pince à Sertir RJ45 Outil Sertissage RJ45 avec Connecteur RJ45 Cat7 Cat6A Blindé avec Guide du Fil Fiche Réseau Pass Through RJ45 Bleu</t>
  </si>
  <si>
    <t>Connecteurs RJ45 + pince à sertir</t>
  </si>
  <si>
    <t>37353</t>
  </si>
  <si>
    <t>Nappe caméra pour Pi Zero RB0-CAM-15</t>
  </si>
  <si>
    <t>37796</t>
  </si>
  <si>
    <t>Capteur de couleurs RGB ISL29125 SEN-12829</t>
  </si>
  <si>
    <t>37683</t>
  </si>
  <si>
    <t>Magnétomètre 3 axes BMM150 SEN0419</t>
  </si>
  <si>
    <t>Geekworm Outil d'Installation pour Raspberry Pi - 100 pcs M2.5 Hex Brass Spacer/Standoff + Écrou + Vis - Accessoires pour Raspberry Pi 5/4/3 B+/3B/3A+/Zero W</t>
  </si>
  <si>
    <t>Soudeur par Points Réglable pour Batteries 8000W, Soudeuse à Point Portable 0,1-0,3mm avec Double Sortie D'impulsion 1-9 Vitesses Réglable par Pédale pour Fabrication de Packs de Batteries</t>
  </si>
  <si>
    <t>Soudeuse par points</t>
  </si>
  <si>
    <t>Outil</t>
  </si>
  <si>
    <t>https://www.amazon.fr/Neulriscn-R%C3%A9glable-Batteries-Dimpulsion-Fabrication/dp/B0DNQHWD2Q/ref=sr_1_1?__mk_fr_FR=%C3%85M%C3%85%C5%BD%C3%95%C3%91&amp;s=hi&amp;sr=1-1</t>
  </si>
  <si>
    <t>DIGIKEY</t>
  </si>
  <si>
    <t>Digikey</t>
  </si>
  <si>
    <t>Carte micro SD 256 GB</t>
  </si>
  <si>
    <t>Sahasra Electronic Solutions Limited CA227-011</t>
  </si>
  <si>
    <t>5093-CA227-011-ND</t>
  </si>
  <si>
    <t>https://www.digikey.fr/fr/products/detail/sahasra-electronic-solutions-limited/CA227-011/22532602</t>
  </si>
  <si>
    <t>Interrupteur magnétique</t>
  </si>
  <si>
    <t>MK04-1A66B-500W</t>
  </si>
  <si>
    <t>374-1115-ND</t>
  </si>
  <si>
    <t>https://www.digikey.fr/fr/products/detail/standex-meder-electronics/MK04-1A66B-500W/388233</t>
  </si>
  <si>
    <t>https://www.digikey.fr/fr/products/detail/knipex-tools-lp/16-95-01-SB/10451717</t>
  </si>
  <si>
    <t>Outil coupe gaîne</t>
  </si>
  <si>
    <t>Knipex Tools LP 16 95 01 SB</t>
  </si>
  <si>
    <t>16 95 01 SB</t>
  </si>
  <si>
    <t>https://www.gotronic.fr/art-carte-raspberry-pi-5-8-gb-38177.htm</t>
  </si>
  <si>
    <t>https://www.gotronic.fr/art-batterie-rtc-pour-raspberry-pi-5-38451.htm</t>
  </si>
  <si>
    <t>https://www.gotronic.fr/art-radiateurs-economiques-pour-raspberry-pi-4b-32410.htm</t>
  </si>
  <si>
    <t>https://www.gotronic.fr/art-nappe-camera-pour-pi-zero-rb0-cam-15-33987.htm</t>
  </si>
  <si>
    <t>https://www.gotronic.fr/art-capteur-de-couleurs-rgb-isl29125-sen-12829-35375.htm</t>
  </si>
  <si>
    <t>https://www.gotronic.fr/art-magnetometre-3-axes-bmm150-sen0419-35122.htm</t>
  </si>
  <si>
    <t>https://www.gotronic.fr/art-kit-entretoises-m2-5-m3-40405.htm</t>
  </si>
  <si>
    <t>https://www.gotronic.fr/art-l7805cv-1578.htm</t>
  </si>
  <si>
    <t>https://www.gotronic.fr/art-jeu-de-75-serre-cables-tf01-6382.htm</t>
  </si>
  <si>
    <t>Pince à Sertir,Pinces à Sertir à Cliquet a 0.5-10mm², Pince à Cosse de Câblevec Electrique 1250pcs AWG22-8 Outil de Sertissage de Ferrule pour soudage électrique ou les industries électriques</t>
  </si>
  <si>
    <t>https://www.amazon.fr/Electrique-Sertissage-%C3%A9lectrique-industries-%C3%A9lectriques/dp/B0DPHPJDDP/ref=sr_1_1?__mk_fr_FR=%C3%85M%C3%85%C5%BD%C3%95%C3%91&amp;sr=8-1</t>
  </si>
  <si>
    <t>Cable recharge</t>
  </si>
  <si>
    <t>Fiche femelle 30 A XT60-F</t>
  </si>
  <si>
    <t>49285</t>
  </si>
  <si>
    <t>https://www.gotronic.fr/art-fiche-alim--f-xt60-47680.htm</t>
  </si>
  <si>
    <t>Connecteur  XT60 femelle</t>
  </si>
  <si>
    <t>Connecteur XT60 mâle</t>
  </si>
  <si>
    <t>Fiche mâle 30 A XT60-M</t>
  </si>
  <si>
    <t>49286</t>
  </si>
  <si>
    <t>https://www.gotronic.fr/art-fiche-alim--m-xt60-47681.htm</t>
  </si>
  <si>
    <t>Câble silicone CS9040N</t>
  </si>
  <si>
    <t>08812</t>
  </si>
  <si>
    <t>https://www.gotronic.fr/art-cable-silicone-cs9040n-5112.htm</t>
  </si>
  <si>
    <t>Fil silicone noir</t>
  </si>
  <si>
    <t>Câble silicone CS9040R</t>
  </si>
  <si>
    <t>https://www.gotronic.fr/art-cable-silicone-cs9040r-5115.htm</t>
  </si>
  <si>
    <t>Fil silicone rouge</t>
  </si>
  <si>
    <t>08817</t>
  </si>
  <si>
    <t>Fiche banane 1010N</t>
  </si>
  <si>
    <t>https://www.gotronic.fr/art-fiche-banane-1010n-178.htm</t>
  </si>
  <si>
    <t>08240</t>
  </si>
  <si>
    <t>Fiche banane 1010R</t>
  </si>
  <si>
    <t>https://www.gotronic.fr/art-fiche-banane-1010r-179.htm</t>
  </si>
  <si>
    <t>08241</t>
  </si>
  <si>
    <t>Connecteur banane noir</t>
  </si>
  <si>
    <t>Connecteur banne rouge</t>
  </si>
  <si>
    <t>LED Rouge</t>
  </si>
  <si>
    <t>LED Verte</t>
  </si>
  <si>
    <t>Résistances LED</t>
  </si>
  <si>
    <t>Résistances ILS 10 kohm</t>
  </si>
  <si>
    <t>https://www.gotronic.fr/art-5-resistances-1-2w-10-k-8486-270.htm</t>
  </si>
  <si>
    <t>04148</t>
  </si>
  <si>
    <t>5 résistances 1/2W 10 kΩ</t>
  </si>
  <si>
    <t>Caméra 1,6 Mpx C/CS SC0926</t>
  </si>
  <si>
    <t>38395</t>
  </si>
  <si>
    <t>https://www.gotronic.fr/art-camera-1-6-mpx-c-cs-sc0926-37487.htm</t>
  </si>
  <si>
    <t>Connecteur 2x20 broches HE40RPI
pour Raspberry Pi</t>
  </si>
  <si>
    <t>Connecteur 2x20 broches Rpi</t>
  </si>
  <si>
    <t>33245</t>
  </si>
  <si>
    <t>https://www.gotronic.fr/art-connecteur-2x20-broches-he40rpi-28118.htm</t>
  </si>
  <si>
    <t>Video &amp; Moteur</t>
  </si>
  <si>
    <t>12011</t>
  </si>
  <si>
    <t>Video (shield)</t>
  </si>
  <si>
    <t>Boîte de 276 gaines FTK201</t>
  </si>
  <si>
    <t>08848</t>
  </si>
  <si>
    <t>https://www.gotronic.fr/art-boite-de-276-gaines-ftk201-5136.htm</t>
  </si>
  <si>
    <t>Preciva Pince à Sertir avec 1350pcs Connecteur Jst, 0.08-1mm² (AWG28-18) Cosses Electriques a Sertir avec 550 Connecteurs JST-XH et 800 broches JST-XH</t>
  </si>
  <si>
    <t>https://www.amazon.fr/0-08-1mm%C2%B2-Preciva-Sertissage-Connecteurs-Connecteur/dp/B0CVVXWQV1/ref=sr_1_6?__mk_fr_FR=%C3%85M%C3%85%C5%BD%C3%95%C3%91&amp;sr=8-6</t>
  </si>
  <si>
    <t>JST + pince à sertir</t>
  </si>
  <si>
    <t>Pince à sertir RJ 45</t>
  </si>
  <si>
    <t>Pince à sertir HT210</t>
  </si>
  <si>
    <t>13088</t>
  </si>
  <si>
    <t>https://www.gotronic.fr/art-pince-a-sertir-ht210-7050.htm</t>
  </si>
  <si>
    <t>Connecteur RJ45</t>
  </si>
  <si>
    <t>Connecteur RJ 45</t>
  </si>
  <si>
    <t>Video &amp; Cable ethernet</t>
  </si>
  <si>
    <t>08532</t>
  </si>
  <si>
    <t>https://www.gotronic.fr/art-connecteur-rj45-4912.htm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</si>
</sst>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;[Red]\-#,##0.00\ [$€-40C]"/>
    <numFmt numFmtId="165" formatCode="d\ mmmm\ yyyy"/>
  </numFmts>
  <fonts count="28" x14ac:knownFonts="1">
    <font>
      <sz val="11"/>
      <color rgb="FF000000"/>
      <name val="Arial"/>
      <charset val="1"/>
    </font>
    <font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CC0000"/>
      <name val="Arial"/>
      <charset val="1"/>
    </font>
    <font>
      <b/>
      <sz val="11"/>
      <color rgb="FF000000"/>
      <name val="Arial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  <font>
      <sz val="10"/>
      <color rgb="FF006600"/>
      <name val="Arial"/>
      <charset val="1"/>
    </font>
    <font>
      <sz val="18"/>
      <color rgb="FF000000"/>
      <name val="Arial"/>
      <charset val="1"/>
    </font>
    <font>
      <sz val="12"/>
      <color rgb="FF000000"/>
      <name val="Arial"/>
      <charset val="1"/>
    </font>
    <font>
      <b/>
      <sz val="24"/>
      <color rgb="FF000000"/>
      <name val="Arial"/>
      <charset val="1"/>
    </font>
    <font>
      <u/>
      <sz val="10"/>
      <color rgb="FF0000EE"/>
      <name val="Arial"/>
      <charset val="1"/>
    </font>
    <font>
      <sz val="10"/>
      <color rgb="FF996600"/>
      <name val="Arial"/>
      <charset val="1"/>
    </font>
    <font>
      <b/>
      <i/>
      <u/>
      <sz val="10"/>
      <color rgb="FF000000"/>
      <name val="Arial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28"/>
      <color rgb="FF0000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4"/>
      <color rgb="FF000000"/>
      <name val="Arial"/>
      <family val="2"/>
      <charset val="1"/>
    </font>
    <font>
      <u/>
      <sz val="11"/>
      <color rgb="FF0563C1"/>
      <name val="Arial"/>
      <family val="2"/>
      <charset val="1"/>
    </font>
    <font>
      <u/>
      <sz val="11"/>
      <color rgb="FF0563C1"/>
      <name val="Arial"/>
      <charset val="1"/>
    </font>
    <font>
      <sz val="11"/>
      <name val="Arial"/>
      <family val="2"/>
      <charset val="1"/>
    </font>
    <font>
      <sz val="11"/>
      <color rgb="FF000000"/>
      <name val="Arial"/>
      <charset val="1"/>
    </font>
    <font>
      <sz val="11"/>
      <color rgb="FF000000"/>
      <name val="Arial"/>
      <family val="2"/>
    </font>
    <font>
      <b/>
      <sz val="18"/>
      <color theme="1"/>
      <name val="Arial"/>
      <family val="2"/>
    </font>
    <font>
      <b/>
      <sz val="18"/>
      <color rgb="FF000000"/>
      <name val="Arial"/>
      <family val="2"/>
    </font>
    <font>
      <sz val="12"/>
      <color rgb="FF000000"/>
      <name val="Arial"/>
      <family val="2"/>
    </font>
    <font>
      <sz val="8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FF7B59"/>
        <bgColor rgb="FFE16173"/>
      </patternFill>
    </fill>
    <fill>
      <patternFill patternType="solid">
        <fgColor rgb="FF000000"/>
        <bgColor rgb="FF232323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FF0000"/>
        <bgColor rgb="FFCC0000"/>
      </patternFill>
    </fill>
    <fill>
      <patternFill patternType="solid">
        <fgColor rgb="FFE16173"/>
        <bgColor rgb="FFFF7B59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A933"/>
        <bgColor rgb="FF008080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0" fontId="20" fillId="0" borderId="0" applyBorder="0" applyProtection="0"/>
    <xf numFmtId="0" fontId="22" fillId="2" borderId="0"/>
    <xf numFmtId="0" fontId="1" fillId="3" borderId="0"/>
    <xf numFmtId="0" fontId="1" fillId="4" borderId="0"/>
    <xf numFmtId="0" fontId="2" fillId="5" borderId="0"/>
    <xf numFmtId="0" fontId="2" fillId="0" borderId="0"/>
    <xf numFmtId="0" fontId="3" fillId="6" borderId="0"/>
    <xf numFmtId="0" fontId="22" fillId="0" borderId="0">
      <alignment horizontal="left"/>
    </xf>
    <xf numFmtId="0" fontId="22" fillId="0" borderId="0"/>
    <xf numFmtId="0" fontId="22" fillId="0" borderId="0"/>
    <xf numFmtId="0" fontId="4" fillId="7" borderId="1"/>
    <xf numFmtId="0" fontId="22" fillId="8" borderId="0"/>
    <xf numFmtId="0" fontId="5" fillId="9" borderId="0"/>
    <xf numFmtId="0" fontId="6" fillId="0" borderId="0"/>
    <xf numFmtId="0" fontId="7" fillId="1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11" borderId="0"/>
    <xf numFmtId="0" fontId="13" fillId="0" borderId="0"/>
    <xf numFmtId="0" fontId="4" fillId="0" borderId="0"/>
    <xf numFmtId="0" fontId="22" fillId="12" borderId="0"/>
    <xf numFmtId="0" fontId="22" fillId="0" borderId="0"/>
    <xf numFmtId="0" fontId="22" fillId="0" borderId="0"/>
    <xf numFmtId="0" fontId="4" fillId="0" borderId="0">
      <alignment horizontal="left"/>
    </xf>
    <xf numFmtId="0" fontId="22" fillId="0" borderId="0"/>
    <xf numFmtId="0" fontId="3" fillId="0" borderId="0"/>
  </cellStyleXfs>
  <cellXfs count="59">
    <xf numFmtId="0" fontId="0" fillId="0" borderId="0" xfId="0"/>
    <xf numFmtId="0" fontId="15" fillId="0" borderId="0" xfId="0" applyFont="1" applyAlignment="1" applyProtection="1">
      <alignment horizontal="center"/>
    </xf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 vertical="center"/>
    </xf>
    <xf numFmtId="164" fontId="15" fillId="0" borderId="0" xfId="0" applyNumberFormat="1" applyFont="1" applyAlignment="1" applyProtection="1">
      <alignment horizontal="center" vertical="center"/>
    </xf>
    <xf numFmtId="0" fontId="15" fillId="0" borderId="0" xfId="0" applyFont="1" applyAlignment="1" applyProtection="1"/>
    <xf numFmtId="0" fontId="0" fillId="0" borderId="0" xfId="0" applyAlignment="1" applyProtection="1"/>
    <xf numFmtId="0" fontId="15" fillId="0" borderId="0" xfId="0" applyFont="1" applyAlignment="1" applyProtection="1">
      <alignment horizontal="center" vertical="center" wrapText="1"/>
    </xf>
    <xf numFmtId="165" fontId="15" fillId="0" borderId="0" xfId="0" applyNumberFormat="1" applyFont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164" fontId="16" fillId="0" borderId="0" xfId="0" applyNumberFormat="1" applyFont="1" applyBorder="1" applyAlignment="1" applyProtection="1">
      <alignment horizontal="center" vertical="center"/>
    </xf>
    <xf numFmtId="164" fontId="16" fillId="0" borderId="0" xfId="0" applyNumberFormat="1" applyFont="1" applyAlignment="1" applyProtection="1">
      <alignment horizontal="center" vertical="center"/>
    </xf>
    <xf numFmtId="0" fontId="17" fillId="3" borderId="2" xfId="0" applyFont="1" applyFill="1" applyBorder="1" applyAlignment="1" applyProtection="1">
      <alignment horizontal="center" vertical="center" wrapText="1"/>
    </xf>
    <xf numFmtId="164" fontId="17" fillId="3" borderId="2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horizontal="center"/>
    </xf>
    <xf numFmtId="0" fontId="18" fillId="0" borderId="0" xfId="0" applyFont="1" applyAlignment="1" applyProtection="1"/>
    <xf numFmtId="0" fontId="14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 wrapText="1"/>
    </xf>
    <xf numFmtId="0" fontId="19" fillId="0" borderId="2" xfId="1" applyFont="1" applyBorder="1" applyAlignment="1" applyProtection="1">
      <alignment horizontal="left" vertical="center" wrapText="1"/>
    </xf>
    <xf numFmtId="0" fontId="15" fillId="0" borderId="2" xfId="0" applyFont="1" applyBorder="1" applyAlignment="1" applyProtection="1">
      <alignment horizontal="center" vertical="center"/>
    </xf>
    <xf numFmtId="164" fontId="15" fillId="0" borderId="2" xfId="0" applyNumberFormat="1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left" vertical="center" wrapText="1"/>
    </xf>
    <xf numFmtId="164" fontId="15" fillId="0" borderId="2" xfId="0" applyNumberFormat="1" applyFont="1" applyBorder="1" applyAlignment="1" applyProtection="1">
      <alignment horizontal="center" vertical="center" wrapText="1"/>
    </xf>
    <xf numFmtId="0" fontId="15" fillId="0" borderId="0" xfId="0" applyFont="1" applyAlignment="1" applyProtection="1">
      <alignment vertical="center"/>
    </xf>
    <xf numFmtId="0" fontId="4" fillId="0" borderId="2" xfId="0" applyFont="1" applyBorder="1" applyAlignment="1" applyProtection="1">
      <alignment horizontal="left" vertical="center"/>
    </xf>
    <xf numFmtId="0" fontId="0" fillId="0" borderId="2" xfId="0" applyFont="1" applyBorder="1" applyAlignment="1" applyProtection="1">
      <alignment horizontal="left" vertical="center"/>
    </xf>
    <xf numFmtId="0" fontId="0" fillId="0" borderId="2" xfId="0" applyBorder="1" applyAlignment="1" applyProtection="1">
      <alignment horizontal="center" vertical="center"/>
    </xf>
    <xf numFmtId="164" fontId="0" fillId="0" borderId="2" xfId="0" applyNumberFormat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164" fontId="21" fillId="0" borderId="2" xfId="0" applyNumberFormat="1" applyFont="1" applyBorder="1" applyAlignment="1" applyProtection="1">
      <alignment horizontal="center" vertical="center"/>
    </xf>
    <xf numFmtId="0" fontId="15" fillId="0" borderId="2" xfId="0" applyFont="1" applyBorder="1" applyAlignment="1" applyProtection="1">
      <alignment horizontal="left"/>
    </xf>
    <xf numFmtId="0" fontId="0" fillId="0" borderId="2" xfId="0" applyFont="1" applyBorder="1" applyAlignment="1" applyProtection="1">
      <alignment horizontal="left" vertical="center" wrapText="1"/>
    </xf>
    <xf numFmtId="0" fontId="0" fillId="0" borderId="2" xfId="0" applyBorder="1" applyAlignment="1" applyProtection="1"/>
    <xf numFmtId="0" fontId="0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left"/>
    </xf>
    <xf numFmtId="0" fontId="0" fillId="0" borderId="2" xfId="0" applyBorder="1" applyAlignment="1" applyProtection="1">
      <alignment horizontal="left" vertical="center"/>
    </xf>
    <xf numFmtId="164" fontId="18" fillId="0" borderId="0" xfId="0" applyNumberFormat="1" applyFont="1" applyBorder="1" applyAlignment="1" applyProtection="1">
      <alignment horizontal="center" vertical="center"/>
    </xf>
    <xf numFmtId="0" fontId="20" fillId="0" borderId="2" xfId="1" applyBorder="1" applyProtection="1"/>
    <xf numFmtId="0" fontId="14" fillId="0" borderId="2" xfId="0" applyFont="1" applyFill="1" applyBorder="1" applyAlignment="1" applyProtection="1">
      <alignment horizontal="left" vertical="center" wrapText="1"/>
    </xf>
    <xf numFmtId="0" fontId="15" fillId="0" borderId="2" xfId="0" applyFont="1" applyFill="1" applyBorder="1" applyAlignment="1" applyProtection="1">
      <alignment horizontal="left" vertical="center"/>
    </xf>
    <xf numFmtId="164" fontId="18" fillId="0" borderId="2" xfId="0" applyNumberFormat="1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left" vertical="center"/>
    </xf>
    <xf numFmtId="0" fontId="17" fillId="0" borderId="2" xfId="0" applyFont="1" applyFill="1" applyBorder="1" applyAlignment="1" applyProtection="1">
      <alignment horizontal="center" vertical="center" wrapText="1"/>
    </xf>
    <xf numFmtId="164" fontId="17" fillId="0" borderId="2" xfId="0" applyNumberFormat="1" applyFont="1" applyFill="1" applyBorder="1" applyAlignment="1" applyProtection="1">
      <alignment horizontal="center" vertical="center" wrapText="1"/>
    </xf>
    <xf numFmtId="0" fontId="24" fillId="0" borderId="2" xfId="0" applyFont="1" applyFill="1" applyBorder="1" applyAlignment="1" applyProtection="1">
      <alignment horizontal="center" vertical="center" wrapText="1"/>
    </xf>
    <xf numFmtId="0" fontId="25" fillId="0" borderId="2" xfId="0" applyFont="1" applyBorder="1" applyAlignment="1" applyProtection="1">
      <alignment horizontal="center" vertical="center" wrapText="1"/>
    </xf>
    <xf numFmtId="164" fontId="0" fillId="0" borderId="2" xfId="0" applyNumberFormat="1" applyFill="1" applyBorder="1" applyAlignment="1" applyProtection="1">
      <alignment horizontal="center" vertical="center"/>
    </xf>
    <xf numFmtId="164" fontId="15" fillId="0" borderId="2" xfId="0" applyNumberFormat="1" applyFont="1" applyFill="1" applyBorder="1" applyAlignment="1" applyProtection="1">
      <alignment horizontal="center" vertical="center"/>
    </xf>
    <xf numFmtId="0" fontId="18" fillId="0" borderId="0" xfId="0" applyFont="1" applyFill="1" applyAlignment="1" applyProtection="1">
      <alignment horizontal="center"/>
    </xf>
    <xf numFmtId="0" fontId="0" fillId="0" borderId="0" xfId="0" applyFill="1" applyAlignment="1" applyProtection="1"/>
    <xf numFmtId="0" fontId="18" fillId="0" borderId="0" xfId="0" applyFont="1" applyFill="1" applyAlignment="1" applyProtection="1"/>
    <xf numFmtId="0" fontId="26" fillId="0" borderId="0" xfId="0" applyFont="1" applyBorder="1" applyAlignment="1" applyProtection="1">
      <alignment horizontal="left" vertical="center"/>
    </xf>
    <xf numFmtId="0" fontId="23" fillId="0" borderId="2" xfId="0" applyFont="1" applyBorder="1" applyAlignment="1" applyProtection="1"/>
    <xf numFmtId="49" fontId="15" fillId="0" borderId="2" xfId="0" applyNumberFormat="1" applyFont="1" applyBorder="1" applyAlignment="1" applyProtection="1">
      <alignment horizontal="left" vertical="center"/>
    </xf>
    <xf numFmtId="49" fontId="0" fillId="0" borderId="2" xfId="0" applyNumberForma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center" vertical="center" wrapText="1"/>
    </xf>
  </cellXfs>
  <cellStyles count="29">
    <cellStyle name="A commander" xfId="2" xr:uid="{00000000-0005-0000-0000-000006000000}"/>
    <cellStyle name="Accent 1 5" xfId="3" xr:uid="{00000000-0005-0000-0000-000007000000}"/>
    <cellStyle name="Accent 2 6" xfId="4" xr:uid="{00000000-0005-0000-0000-000008000000}"/>
    <cellStyle name="Accent 3 7" xfId="5" xr:uid="{00000000-0005-0000-0000-000009000000}"/>
    <cellStyle name="Accent 4" xfId="6" xr:uid="{00000000-0005-0000-0000-00000A000000}"/>
    <cellStyle name="Bad 8" xfId="7" xr:uid="{00000000-0005-0000-0000-00000B000000}"/>
    <cellStyle name="Catégorie de la table dynamique" xfId="8" xr:uid="{00000000-0005-0000-0000-00000C000000}"/>
    <cellStyle name="Champ de la table dynamique" xfId="9" xr:uid="{00000000-0005-0000-0000-00000D000000}"/>
    <cellStyle name="Coin de la table dynamique" xfId="10" xr:uid="{00000000-0005-0000-0000-00000E000000}"/>
    <cellStyle name="colis perdu" xfId="11" xr:uid="{00000000-0005-0000-0000-00000F000000}"/>
    <cellStyle name="En attente de réception" xfId="12" xr:uid="{00000000-0005-0000-0000-000010000000}"/>
    <cellStyle name="Error 9" xfId="13" xr:uid="{00000000-0005-0000-0000-000011000000}"/>
    <cellStyle name="Footnote 10" xfId="14" xr:uid="{00000000-0005-0000-0000-000012000000}"/>
    <cellStyle name="Good 11" xfId="15" xr:uid="{00000000-0005-0000-0000-000013000000}"/>
    <cellStyle name="Heading 1 12" xfId="16" xr:uid="{00000000-0005-0000-0000-000014000000}"/>
    <cellStyle name="Heading 2 13" xfId="17" xr:uid="{00000000-0005-0000-0000-000015000000}"/>
    <cellStyle name="Heading 3" xfId="18" xr:uid="{00000000-0005-0000-0000-000016000000}"/>
    <cellStyle name="Hyperlink 14" xfId="19" xr:uid="{00000000-0005-0000-0000-000017000000}"/>
    <cellStyle name="Lien hypertexte" xfId="1" builtinId="8"/>
    <cellStyle name="Neutral 15" xfId="20" xr:uid="{00000000-0005-0000-0000-000018000000}"/>
    <cellStyle name="Normal" xfId="0" builtinId="0"/>
    <cellStyle name="Result 4" xfId="21" xr:uid="{00000000-0005-0000-0000-000019000000}"/>
    <cellStyle name="Résultat de la table dynamique" xfId="22" xr:uid="{00000000-0005-0000-0000-00001A000000}"/>
    <cellStyle name="Sans nom1" xfId="23" xr:uid="{00000000-0005-0000-0000-00001B000000}"/>
    <cellStyle name="Status 16" xfId="24" xr:uid="{00000000-0005-0000-0000-00001C000000}"/>
    <cellStyle name="Text 17" xfId="25" xr:uid="{00000000-0005-0000-0000-00001D000000}"/>
    <cellStyle name="Titre de la table dynamique" xfId="26" xr:uid="{00000000-0005-0000-0000-00001E000000}"/>
    <cellStyle name="Valeur de la table dynamique" xfId="27" xr:uid="{00000000-0005-0000-0000-00001F000000}"/>
    <cellStyle name="Warning 18" xfId="28" xr:uid="{00000000-0005-0000-0000-000020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16173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2323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fr/MMOBIEL-Polyimide-longueur-Antistatique-R%C3%A9sistant/dp/B07W4KWKKB" TargetMode="External"/><Relationship Id="rId18" Type="http://schemas.openxmlformats.org/officeDocument/2006/relationships/hyperlink" Target="https://www.gotronic.fr/art-carte-raspberry-pi-5-8-gb-38177.htm" TargetMode="External"/><Relationship Id="rId26" Type="http://schemas.openxmlformats.org/officeDocument/2006/relationships/hyperlink" Target="https://www.digikey.fr/fr/products/detail/knipex-tools-lp/16-95-01-SB/10451717" TargetMode="External"/><Relationship Id="rId21" Type="http://schemas.openxmlformats.org/officeDocument/2006/relationships/hyperlink" Target="https://www.gotronic.fr/art-camera-1-6-mpx-c-cs-sc0926-37487.htm" TargetMode="External"/><Relationship Id="rId34" Type="http://schemas.openxmlformats.org/officeDocument/2006/relationships/hyperlink" Target="https://www.gotronic.fr/art-connecteur-2x20-broches-he40rpi-28118.htm" TargetMode="External"/><Relationship Id="rId7" Type="http://schemas.openxmlformats.org/officeDocument/2006/relationships/hyperlink" Target="https://www.gotronic.fr/art-connnecteur-fh1x8-22734.htm" TargetMode="External"/><Relationship Id="rId12" Type="http://schemas.openxmlformats.org/officeDocument/2006/relationships/hyperlink" Target="https://www.amazon.fr/Plaque-batterie-Soudure-Compatible-Soudeur/dp/B09TT4KMLB" TargetMode="External"/><Relationship Id="rId17" Type="http://schemas.openxmlformats.org/officeDocument/2006/relationships/hyperlink" Target="https://www.digikey.fr/fr/products/detail/standex-meder-electronics/MK04-1A66B-500W/388233" TargetMode="External"/><Relationship Id="rId25" Type="http://schemas.openxmlformats.org/officeDocument/2006/relationships/hyperlink" Target="https://www.gotronic.fr/art-kit-entretoises-m2-5-m3-40405.htm" TargetMode="External"/><Relationship Id="rId33" Type="http://schemas.openxmlformats.org/officeDocument/2006/relationships/hyperlink" Target="https://www.gotronic.fr/art-5-resistances-1-2w-10-k-8486-270.ht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www.conrad.fr/fr/p/pile-rechargeable-speciale-18650-samsung-s9009316342928-resiste-aux-courants-eleves-a-tete-plate-li-ion-3-6-v-3450-mah-1499572.html" TargetMode="External"/><Relationship Id="rId16" Type="http://schemas.openxmlformats.org/officeDocument/2006/relationships/hyperlink" Target="https://www.digikey.fr/fr/products/detail/sahasra-electronic-solutions-limited/CA227-011/22532602" TargetMode="External"/><Relationship Id="rId20" Type="http://schemas.openxmlformats.org/officeDocument/2006/relationships/hyperlink" Target="https://www.gotronic.fr/art-radiateurs-economiques-pour-raspberry-pi-4b-32410.htm" TargetMode="External"/><Relationship Id="rId29" Type="http://schemas.openxmlformats.org/officeDocument/2006/relationships/hyperlink" Target="https://www.gotronic.fr/art-fiche-alim--m-xt60-47681.htm" TargetMode="External"/><Relationship Id="rId1" Type="http://schemas.openxmlformats.org/officeDocument/2006/relationships/hyperlink" Target="https://www.gotronic.fr/art-recepteur-gps-miniature-tel0132-32438.htm" TargetMode="External"/><Relationship Id="rId6" Type="http://schemas.openxmlformats.org/officeDocument/2006/relationships/hyperlink" Target="https://www.gotronic.fr/art-arduino-nano-a000005-12422.htm" TargetMode="External"/><Relationship Id="rId11" Type="http://schemas.openxmlformats.org/officeDocument/2006/relationships/hyperlink" Target="https://www.amazon.fr/Supernight-Convertisseurs-Transformer-Adjustable-Electricity/dp/B079M9CHV9" TargetMode="External"/><Relationship Id="rId24" Type="http://schemas.openxmlformats.org/officeDocument/2006/relationships/hyperlink" Target="https://www.gotronic.fr/art-magnetometre-3-axes-bmm150-sen0419-35122.htm" TargetMode="External"/><Relationship Id="rId32" Type="http://schemas.openxmlformats.org/officeDocument/2006/relationships/hyperlink" Target="https://www.gotronic.fr/art-fiche-banane-1010r-179.htm" TargetMode="External"/><Relationship Id="rId37" Type="http://schemas.openxmlformats.org/officeDocument/2006/relationships/hyperlink" Target="https://www.amazon.fr/0-08-1mm%C2%B2-Preciva-Sertissage-Connecteurs-Connecteur/dp/B0CVVXWQV1/ref=sr_1_6?__mk_fr_FR=%C3%85M%C3%85%C5%BD%C3%95%C3%91&amp;sr=8-6" TargetMode="External"/><Relationship Id="rId5" Type="http://schemas.openxmlformats.org/officeDocument/2006/relationships/hyperlink" Target="https://www.gotronic.fr/art-cordon-jst-ph-femelle-4-cts-jst4-22571.htm" TargetMode="External"/><Relationship Id="rId15" Type="http://schemas.openxmlformats.org/officeDocument/2006/relationships/hyperlink" Target="https://www.amazon.fr/Neulriscn-R%C3%A9glable-Batteries-Dimpulsion-Fabrication/dp/B0DNQHWD2Q/ref=sr_1_1?__mk_fr_FR=%C3%85M%C3%85%C5%BD%C3%95%C3%91&amp;s=hi&amp;sr=1-1" TargetMode="External"/><Relationship Id="rId23" Type="http://schemas.openxmlformats.org/officeDocument/2006/relationships/hyperlink" Target="https://www.gotronic.fr/art-capteur-de-couleurs-rgb-isl29125-sen-12829-35375.htm" TargetMode="External"/><Relationship Id="rId28" Type="http://schemas.openxmlformats.org/officeDocument/2006/relationships/hyperlink" Target="https://www.gotronic.fr/art-fiche-alim--f-xt60-47680.htm" TargetMode="External"/><Relationship Id="rId36" Type="http://schemas.openxmlformats.org/officeDocument/2006/relationships/hyperlink" Target="https://www.gotronic.fr/art-boite-de-276-gaines-ftk201-5136.htm" TargetMode="External"/><Relationship Id="rId10" Type="http://schemas.openxmlformats.org/officeDocument/2006/relationships/hyperlink" Target="https://www.otronic.nl/fr/circuit-de-protection-bms-3s-avec-fonction-dequili.html" TargetMode="External"/><Relationship Id="rId19" Type="http://schemas.openxmlformats.org/officeDocument/2006/relationships/hyperlink" Target="https://www.gotronic.fr/art-batterie-rtc-pour-raspberry-pi-5-38451.htm" TargetMode="External"/><Relationship Id="rId31" Type="http://schemas.openxmlformats.org/officeDocument/2006/relationships/hyperlink" Target="https://www.gotronic.fr/art-cable-silicone-cs9040r-5115.htm" TargetMode="External"/><Relationship Id="rId4" Type="http://schemas.openxmlformats.org/officeDocument/2006/relationships/hyperlink" Target="http://edmundoptics.fr/p/4mm-uc-series-fixed-focal-length-lens/2966/" TargetMode="External"/><Relationship Id="rId9" Type="http://schemas.openxmlformats.org/officeDocument/2006/relationships/hyperlink" Target="https://www.gotronic.fr/art-bornier-ark02z-39582.htm" TargetMode="External"/><Relationship Id="rId14" Type="http://schemas.openxmlformats.org/officeDocument/2006/relationships/hyperlink" Target="https://www.amazon.fr/Geekworm-Raspberry-Installation-Hexagonale-Accessoires/dp/B07MN2GY6Y/ref=sr_1_21" TargetMode="External"/><Relationship Id="rId22" Type="http://schemas.openxmlformats.org/officeDocument/2006/relationships/hyperlink" Target="https://www.gotronic.fr/art-nappe-camera-pour-pi-zero-rb0-cam-15-33987.htm" TargetMode="External"/><Relationship Id="rId27" Type="http://schemas.openxmlformats.org/officeDocument/2006/relationships/hyperlink" Target="https://www.amazon.fr/VCELINK-GJ671BL-Sertissage-Connecteur-Through/dp/B09BW1CFF9/ref=sr_1_4?__mk_fr_FR=%C3%85M%C3%85%C5%BD%C3%95%C3%91&amp;sr=8-4" TargetMode="External"/><Relationship Id="rId30" Type="http://schemas.openxmlformats.org/officeDocument/2006/relationships/hyperlink" Target="https://www.gotronic.fr/art-cable-silicone-cs9040n-5112.htm" TargetMode="External"/><Relationship Id="rId35" Type="http://schemas.openxmlformats.org/officeDocument/2006/relationships/hyperlink" Target="https://www.gotronic.fr/art-epoxy-brut-1-face-233.htm" TargetMode="External"/><Relationship Id="rId8" Type="http://schemas.openxmlformats.org/officeDocument/2006/relationships/hyperlink" Target="https://www.gotronic.fr/art-connecteur-fh1x16-24495.htm" TargetMode="External"/><Relationship Id="rId3" Type="http://schemas.openxmlformats.org/officeDocument/2006/relationships/hyperlink" Target="https://www.amazon.fr/Electrique-Sertissage-%C3%A9lectrique-industries-%C3%A9lectriques/dp/B0DPHPJDDP/ref=sr_1_1?__mk_fr_FR=%C3%85M%C3%85%C5%BD%C3%95%C3%91&amp;sr=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B114"/>
  <sheetViews>
    <sheetView tabSelected="1" zoomScale="85" zoomScaleNormal="85" workbookViewId="0">
      <pane ySplit="3" topLeftCell="A7" activePane="bottomLeft" state="frozen"/>
      <selection pane="bottomLeft" activeCell="G18" sqref="G18"/>
    </sheetView>
  </sheetViews>
  <sheetFormatPr baseColWidth="10" defaultColWidth="10.59765625" defaultRowHeight="13.8" x14ac:dyDescent="0.25"/>
  <cols>
    <col min="1" max="1" width="19.3984375" style="4" customWidth="1"/>
    <col min="2" max="2" width="22.796875" style="3" customWidth="1"/>
    <col min="3" max="3" width="34.5" style="1" customWidth="1"/>
    <col min="4" max="4" width="49.3984375" style="2" customWidth="1"/>
    <col min="5" max="5" width="18.59765625" style="3" customWidth="1"/>
    <col min="6" max="6" width="57.09765625" style="3" customWidth="1"/>
    <col min="7" max="7" width="12.69921875" style="4" customWidth="1"/>
    <col min="8" max="8" width="11.796875" style="5" customWidth="1"/>
    <col min="9" max="9" width="14" style="5" customWidth="1"/>
    <col min="10" max="10" width="13.296875" style="5" customWidth="1"/>
    <col min="11" max="11" width="23.3984375" style="1" customWidth="1"/>
    <col min="12" max="1016" width="10.69921875" style="1" customWidth="1"/>
    <col min="1017" max="16376" width="10.59765625" style="6"/>
    <col min="16377" max="16379" width="10.69921875" style="1" customWidth="1"/>
    <col min="16380" max="16380" width="10.69921875" style="7" customWidth="1"/>
    <col min="16381" max="16381" width="10.5" style="6" customWidth="1"/>
    <col min="16382" max="16384" width="10.5" style="7" customWidth="1"/>
  </cols>
  <sheetData>
    <row r="1" spans="1:10 16377:16382" ht="39.75" customHeight="1" x14ac:dyDescent="0.25">
      <c r="A1" s="8" t="s">
        <v>0</v>
      </c>
      <c r="B1" s="9">
        <f ca="1">TODAY()</f>
        <v>46045</v>
      </c>
      <c r="C1" s="58"/>
      <c r="D1" s="58"/>
      <c r="F1" s="54" t="s">
        <v>65</v>
      </c>
      <c r="G1" s="10"/>
      <c r="H1" s="11"/>
      <c r="I1" s="12"/>
    </row>
    <row r="2" spans="1:10 16377:16382" ht="19.95" customHeight="1" x14ac:dyDescent="0.25"/>
    <row r="3" spans="1:10 16377:16382" s="15" customFormat="1" ht="62.4" customHeight="1" x14ac:dyDescent="0.3">
      <c r="A3" s="13" t="s">
        <v>3</v>
      </c>
      <c r="B3" s="13" t="s">
        <v>78</v>
      </c>
      <c r="C3" s="13" t="s">
        <v>85</v>
      </c>
      <c r="D3" s="13" t="s">
        <v>1</v>
      </c>
      <c r="E3" s="13" t="s">
        <v>2</v>
      </c>
      <c r="F3" s="13" t="s">
        <v>4</v>
      </c>
      <c r="G3" s="13" t="s">
        <v>5</v>
      </c>
      <c r="H3" s="14" t="s">
        <v>6</v>
      </c>
      <c r="I3" s="14" t="s">
        <v>7</v>
      </c>
      <c r="J3" s="14" t="s">
        <v>8</v>
      </c>
      <c r="XEZ3" s="7"/>
      <c r="XFA3" s="16"/>
      <c r="XFB3" s="7"/>
    </row>
    <row r="4" spans="1:10 16377:16382" s="51" customFormat="1" ht="19.95" customHeight="1" x14ac:dyDescent="0.3">
      <c r="A4" s="47" t="s">
        <v>73</v>
      </c>
      <c r="B4" s="45"/>
      <c r="C4" s="45"/>
      <c r="D4" s="45"/>
      <c r="E4" s="45"/>
      <c r="F4" s="45"/>
      <c r="G4" s="45"/>
      <c r="H4" s="46"/>
      <c r="I4" s="46"/>
      <c r="J4" s="46"/>
      <c r="XEZ4" s="52"/>
      <c r="XFA4" s="53"/>
      <c r="XFB4" s="52"/>
    </row>
    <row r="5" spans="1:10 16377:16382" s="4" customFormat="1" ht="19.95" customHeight="1" x14ac:dyDescent="0.25">
      <c r="A5" s="20" t="s">
        <v>19</v>
      </c>
      <c r="B5" s="19" t="s">
        <v>77</v>
      </c>
      <c r="C5" s="17" t="s">
        <v>9</v>
      </c>
      <c r="D5" s="18" t="s">
        <v>68</v>
      </c>
      <c r="E5" s="56">
        <v>38580</v>
      </c>
      <c r="F5" s="40" t="s">
        <v>115</v>
      </c>
      <c r="G5" s="22">
        <v>1</v>
      </c>
      <c r="H5" s="23">
        <v>95.75</v>
      </c>
      <c r="I5" s="23">
        <v>114.9</v>
      </c>
      <c r="J5" s="23">
        <f>G5*I5</f>
        <v>114.9</v>
      </c>
      <c r="XEZ5" s="7"/>
      <c r="XFA5" s="6"/>
      <c r="XFB5" s="7"/>
    </row>
    <row r="6" spans="1:10 16377:16382" s="26" customFormat="1" ht="19.95" customHeight="1" x14ac:dyDescent="0.25">
      <c r="A6" s="20" t="s">
        <v>19</v>
      </c>
      <c r="B6" s="19" t="s">
        <v>77</v>
      </c>
      <c r="C6" s="24" t="s">
        <v>10</v>
      </c>
      <c r="D6" s="18" t="s">
        <v>11</v>
      </c>
      <c r="E6" s="56">
        <v>38644</v>
      </c>
      <c r="F6" s="40" t="s">
        <v>116</v>
      </c>
      <c r="G6" s="22">
        <v>1</v>
      </c>
      <c r="H6" s="25">
        <v>5.75</v>
      </c>
      <c r="I6" s="23">
        <v>6.9</v>
      </c>
      <c r="J6" s="23">
        <f t="shared" ref="J6:J60" si="0">G6*I6</f>
        <v>6.9</v>
      </c>
      <c r="XEZ6" s="7"/>
      <c r="XFA6" s="6"/>
      <c r="XFB6" s="7"/>
    </row>
    <row r="7" spans="1:10 16377:16382" s="26" customFormat="1" ht="19.95" customHeight="1" x14ac:dyDescent="0.25">
      <c r="A7" s="20" t="s">
        <v>19</v>
      </c>
      <c r="B7" s="19" t="s">
        <v>77</v>
      </c>
      <c r="C7" s="24" t="s">
        <v>12</v>
      </c>
      <c r="D7" s="18" t="s">
        <v>13</v>
      </c>
      <c r="E7" s="56">
        <v>11937</v>
      </c>
      <c r="F7" s="40" t="s">
        <v>117</v>
      </c>
      <c r="G7" s="22">
        <v>1</v>
      </c>
      <c r="H7" s="23">
        <v>1.25</v>
      </c>
      <c r="I7" s="23">
        <v>1.5</v>
      </c>
      <c r="J7" s="23">
        <f t="shared" si="0"/>
        <v>1.5</v>
      </c>
      <c r="XEZ7" s="7"/>
      <c r="XFA7" s="6"/>
      <c r="XFB7" s="7"/>
    </row>
    <row r="8" spans="1:10 16377:16382" s="31" customFormat="1" ht="19.95" customHeight="1" x14ac:dyDescent="0.25">
      <c r="A8" s="20" t="s">
        <v>19</v>
      </c>
      <c r="B8" s="19" t="s">
        <v>77</v>
      </c>
      <c r="C8" s="44" t="s">
        <v>14</v>
      </c>
      <c r="D8" s="28" t="s">
        <v>158</v>
      </c>
      <c r="E8" s="57" t="s">
        <v>159</v>
      </c>
      <c r="F8" s="40" t="s">
        <v>160</v>
      </c>
      <c r="G8" s="29">
        <v>1</v>
      </c>
      <c r="H8" s="30">
        <v>58.25</v>
      </c>
      <c r="I8" s="30">
        <v>69.900000000000006</v>
      </c>
      <c r="J8" s="23">
        <f t="shared" si="0"/>
        <v>69.900000000000006</v>
      </c>
      <c r="XFB8" s="7"/>
    </row>
    <row r="9" spans="1:10 16377:16382" s="4" customFormat="1" ht="19.95" customHeight="1" x14ac:dyDescent="0.25">
      <c r="A9" s="20" t="s">
        <v>19</v>
      </c>
      <c r="B9" s="19" t="s">
        <v>77</v>
      </c>
      <c r="C9" s="24" t="s">
        <v>69</v>
      </c>
      <c r="D9" s="18" t="s">
        <v>91</v>
      </c>
      <c r="E9" s="56" t="s">
        <v>90</v>
      </c>
      <c r="F9" s="40" t="s">
        <v>118</v>
      </c>
      <c r="G9" s="22">
        <v>1</v>
      </c>
      <c r="H9" s="23">
        <v>2</v>
      </c>
      <c r="I9" s="23">
        <v>2.4</v>
      </c>
      <c r="J9" s="23">
        <f t="shared" si="0"/>
        <v>2.4</v>
      </c>
      <c r="XEZ9" s="7"/>
      <c r="XFA9" s="6"/>
      <c r="XFB9" s="7"/>
    </row>
    <row r="10" spans="1:10 16377:16382" s="26" customFormat="1" ht="19.95" customHeight="1" x14ac:dyDescent="0.25">
      <c r="A10" s="20" t="s">
        <v>19</v>
      </c>
      <c r="B10" s="19" t="s">
        <v>167</v>
      </c>
      <c r="C10" s="17" t="s">
        <v>26</v>
      </c>
      <c r="D10" s="18" t="s">
        <v>27</v>
      </c>
      <c r="E10" s="56">
        <v>36973</v>
      </c>
      <c r="F10" s="21" t="s">
        <v>28</v>
      </c>
      <c r="G10" s="22">
        <v>1</v>
      </c>
      <c r="H10" s="23">
        <v>16.579999999999998</v>
      </c>
      <c r="I10" s="23">
        <v>19.899999999999999</v>
      </c>
      <c r="J10" s="23">
        <f t="shared" si="0"/>
        <v>19.899999999999999</v>
      </c>
      <c r="XEZ10" s="7"/>
      <c r="XFA10" s="6"/>
      <c r="XFB10" s="7"/>
    </row>
    <row r="11" spans="1:10 16377:16382" s="4" customFormat="1" ht="19.95" customHeight="1" x14ac:dyDescent="0.25">
      <c r="A11" s="20" t="s">
        <v>19</v>
      </c>
      <c r="B11" s="19" t="s">
        <v>167</v>
      </c>
      <c r="C11" s="41" t="s">
        <v>66</v>
      </c>
      <c r="D11" s="18" t="s">
        <v>93</v>
      </c>
      <c r="E11" s="56" t="s">
        <v>92</v>
      </c>
      <c r="F11" s="40" t="s">
        <v>119</v>
      </c>
      <c r="G11" s="22">
        <v>1</v>
      </c>
      <c r="H11" s="23">
        <v>9.1199999999999992</v>
      </c>
      <c r="I11" s="23">
        <v>10.95</v>
      </c>
      <c r="J11" s="23">
        <f t="shared" si="0"/>
        <v>10.95</v>
      </c>
      <c r="XEZ11" s="7"/>
      <c r="XFA11" s="6"/>
      <c r="XFB11" s="7"/>
    </row>
    <row r="12" spans="1:10 16377:16382" s="4" customFormat="1" ht="19.95" customHeight="1" x14ac:dyDescent="0.25">
      <c r="A12" s="20" t="s">
        <v>19</v>
      </c>
      <c r="B12" s="19" t="s">
        <v>167</v>
      </c>
      <c r="C12" s="41" t="s">
        <v>67</v>
      </c>
      <c r="D12" s="18" t="s">
        <v>95</v>
      </c>
      <c r="E12" s="56" t="s">
        <v>94</v>
      </c>
      <c r="F12" s="40" t="s">
        <v>120</v>
      </c>
      <c r="G12" s="22">
        <v>1</v>
      </c>
      <c r="H12" s="23">
        <v>6.92</v>
      </c>
      <c r="I12" s="23">
        <v>8.3000000000000007</v>
      </c>
      <c r="J12" s="23">
        <f t="shared" si="0"/>
        <v>8.3000000000000007</v>
      </c>
      <c r="XEZ12" s="7"/>
      <c r="XFA12" s="6"/>
      <c r="XFB12" s="7"/>
    </row>
    <row r="13" spans="1:10 16377:16382" s="4" customFormat="1" ht="19.95" customHeight="1" x14ac:dyDescent="0.25">
      <c r="A13" s="20" t="s">
        <v>19</v>
      </c>
      <c r="B13" s="19" t="s">
        <v>77</v>
      </c>
      <c r="C13" s="24" t="s">
        <v>71</v>
      </c>
      <c r="D13" s="18" t="s">
        <v>70</v>
      </c>
      <c r="E13" s="56">
        <v>11583</v>
      </c>
      <c r="F13" s="40" t="s">
        <v>121</v>
      </c>
      <c r="G13" s="22">
        <v>1</v>
      </c>
      <c r="H13" s="32">
        <v>10.67</v>
      </c>
      <c r="I13" s="23">
        <v>12.8</v>
      </c>
      <c r="J13" s="23">
        <f t="shared" si="0"/>
        <v>12.8</v>
      </c>
      <c r="XEW13" s="6"/>
      <c r="XEX13" s="6"/>
      <c r="XEY13" s="6"/>
      <c r="XEZ13" s="7"/>
      <c r="XFA13" s="6"/>
      <c r="XFB13" s="7"/>
    </row>
    <row r="14" spans="1:10 16377:16382" s="26" customFormat="1" ht="19.95" customHeight="1" x14ac:dyDescent="0.25">
      <c r="A14" s="20" t="s">
        <v>19</v>
      </c>
      <c r="B14" s="19" t="s">
        <v>167</v>
      </c>
      <c r="C14" s="17" t="s">
        <v>23</v>
      </c>
      <c r="D14" s="18" t="s">
        <v>24</v>
      </c>
      <c r="E14" s="56">
        <v>48948</v>
      </c>
      <c r="F14" s="18" t="s">
        <v>25</v>
      </c>
      <c r="G14" s="22">
        <v>1</v>
      </c>
      <c r="H14" s="23">
        <v>0.21</v>
      </c>
      <c r="I14" s="23">
        <v>0.25</v>
      </c>
      <c r="J14" s="23">
        <f t="shared" si="0"/>
        <v>0.25</v>
      </c>
      <c r="XEZ14" s="7"/>
      <c r="XFA14" s="6"/>
      <c r="XFB14" s="7"/>
    </row>
    <row r="15" spans="1:10 16377:16382" s="26" customFormat="1" ht="19.95" customHeight="1" x14ac:dyDescent="0.25">
      <c r="A15" s="20" t="s">
        <v>19</v>
      </c>
      <c r="B15" s="19" t="s">
        <v>167</v>
      </c>
      <c r="C15" s="17" t="s">
        <v>162</v>
      </c>
      <c r="D15" s="18" t="s">
        <v>161</v>
      </c>
      <c r="E15" s="56" t="s">
        <v>163</v>
      </c>
      <c r="F15" s="40" t="s">
        <v>164</v>
      </c>
      <c r="G15" s="22">
        <v>1</v>
      </c>
      <c r="H15" s="23">
        <v>3.79</v>
      </c>
      <c r="I15" s="23">
        <v>4.55</v>
      </c>
      <c r="J15" s="23">
        <f t="shared" si="0"/>
        <v>4.55</v>
      </c>
      <c r="XEZ15" s="7"/>
      <c r="XFA15" s="6"/>
      <c r="XFB15" s="7"/>
    </row>
    <row r="16" spans="1:10 16377:16382" s="26" customFormat="1" ht="19.95" customHeight="1" x14ac:dyDescent="0.25">
      <c r="A16" s="20" t="s">
        <v>19</v>
      </c>
      <c r="B16" s="19" t="s">
        <v>167</v>
      </c>
      <c r="C16" s="17" t="s">
        <v>151</v>
      </c>
      <c r="D16" s="18"/>
      <c r="E16" s="56"/>
      <c r="F16" s="18"/>
      <c r="G16" s="22">
        <v>1</v>
      </c>
      <c r="H16" s="23"/>
      <c r="I16" s="23"/>
      <c r="J16" s="23">
        <f t="shared" si="0"/>
        <v>0</v>
      </c>
      <c r="XEZ16" s="7"/>
      <c r="XFA16" s="6"/>
      <c r="XFB16" s="7"/>
    </row>
    <row r="17" spans="1:10 16377:16382" s="26" customFormat="1" ht="19.95" customHeight="1" x14ac:dyDescent="0.25">
      <c r="A17" s="20" t="s">
        <v>19</v>
      </c>
      <c r="B17" s="19" t="s">
        <v>167</v>
      </c>
      <c r="C17" s="17" t="s">
        <v>152</v>
      </c>
      <c r="D17" s="18"/>
      <c r="E17" s="56"/>
      <c r="F17" s="18"/>
      <c r="G17" s="22">
        <v>1</v>
      </c>
      <c r="H17" s="23"/>
      <c r="I17" s="23"/>
      <c r="J17" s="23">
        <f t="shared" si="0"/>
        <v>0</v>
      </c>
      <c r="XEZ17" s="7"/>
      <c r="XFA17" s="6"/>
      <c r="XFB17" s="7"/>
    </row>
    <row r="18" spans="1:10 16377:16382" s="26" customFormat="1" ht="19.95" customHeight="1" x14ac:dyDescent="0.25">
      <c r="A18" s="20" t="s">
        <v>19</v>
      </c>
      <c r="B18" s="19" t="s">
        <v>167</v>
      </c>
      <c r="C18" s="17" t="s">
        <v>153</v>
      </c>
      <c r="D18" s="18"/>
      <c r="E18" s="56"/>
      <c r="F18" s="18"/>
      <c r="G18" s="22">
        <v>2</v>
      </c>
      <c r="H18" s="23"/>
      <c r="I18" s="23"/>
      <c r="J18" s="23">
        <f t="shared" si="0"/>
        <v>0</v>
      </c>
      <c r="XEZ18" s="7"/>
      <c r="XFA18" s="6"/>
      <c r="XFB18" s="7"/>
    </row>
    <row r="19" spans="1:10 16377:16382" s="26" customFormat="1" ht="19.95" customHeight="1" x14ac:dyDescent="0.25">
      <c r="A19" s="20" t="s">
        <v>19</v>
      </c>
      <c r="B19" s="19" t="s">
        <v>167</v>
      </c>
      <c r="C19" s="17" t="s">
        <v>154</v>
      </c>
      <c r="D19" s="18" t="s">
        <v>157</v>
      </c>
      <c r="E19" s="56" t="s">
        <v>156</v>
      </c>
      <c r="F19" s="40" t="s">
        <v>155</v>
      </c>
      <c r="G19" s="22">
        <v>1</v>
      </c>
      <c r="H19" s="23">
        <v>0.25</v>
      </c>
      <c r="I19" s="23">
        <v>0.3</v>
      </c>
      <c r="J19" s="23">
        <f t="shared" si="0"/>
        <v>0.3</v>
      </c>
      <c r="XEZ19" s="7"/>
      <c r="XFA19" s="6"/>
      <c r="XFB19" s="7"/>
    </row>
    <row r="20" spans="1:10 16377:16382" s="4" customFormat="1" ht="19.95" customHeight="1" x14ac:dyDescent="0.25">
      <c r="A20" s="20" t="s">
        <v>19</v>
      </c>
      <c r="B20" s="19" t="s">
        <v>165</v>
      </c>
      <c r="C20" s="24" t="s">
        <v>20</v>
      </c>
      <c r="D20" s="18" t="s">
        <v>21</v>
      </c>
      <c r="E20" s="56" t="s">
        <v>166</v>
      </c>
      <c r="F20" s="40" t="s">
        <v>22</v>
      </c>
      <c r="G20" s="22">
        <v>1</v>
      </c>
      <c r="H20" s="32">
        <v>2.08</v>
      </c>
      <c r="I20" s="23">
        <v>2.5</v>
      </c>
      <c r="J20" s="23">
        <f t="shared" ref="J20" si="1">G20*I20</f>
        <v>2.5</v>
      </c>
      <c r="XEW20" s="6"/>
      <c r="XEX20" s="6"/>
      <c r="XEY20" s="6"/>
      <c r="XEZ20" s="7"/>
      <c r="XFA20" s="6"/>
      <c r="XFB20" s="7"/>
    </row>
    <row r="21" spans="1:10 16377:16382" s="4" customFormat="1" ht="19.95" customHeight="1" x14ac:dyDescent="0.25">
      <c r="A21" s="20" t="s">
        <v>19</v>
      </c>
      <c r="B21" s="19" t="s">
        <v>76</v>
      </c>
      <c r="C21" s="27" t="s">
        <v>55</v>
      </c>
      <c r="D21" s="19" t="s">
        <v>56</v>
      </c>
      <c r="E21" s="56">
        <v>49012</v>
      </c>
      <c r="F21" s="40" t="s">
        <v>57</v>
      </c>
      <c r="G21" s="22">
        <v>2</v>
      </c>
      <c r="H21" s="23">
        <v>1.21</v>
      </c>
      <c r="I21" s="23">
        <v>1.45</v>
      </c>
      <c r="J21" s="23">
        <f t="shared" si="0"/>
        <v>2.9</v>
      </c>
      <c r="XEZ21" s="7"/>
      <c r="XFA21" s="6"/>
      <c r="XFB21" s="7"/>
    </row>
    <row r="22" spans="1:10 16377:16382" s="4" customFormat="1" ht="19.95" customHeight="1" x14ac:dyDescent="0.25">
      <c r="A22" s="20" t="s">
        <v>19</v>
      </c>
      <c r="B22" s="19" t="s">
        <v>76</v>
      </c>
      <c r="C22" s="27" t="s">
        <v>58</v>
      </c>
      <c r="D22" s="19" t="s">
        <v>59</v>
      </c>
      <c r="E22" s="56">
        <v>49006</v>
      </c>
      <c r="F22" s="19" t="s">
        <v>60</v>
      </c>
      <c r="G22" s="22">
        <v>2</v>
      </c>
      <c r="H22" s="23">
        <v>0.62</v>
      </c>
      <c r="I22" s="23">
        <v>0.75</v>
      </c>
      <c r="J22" s="23">
        <f t="shared" si="0"/>
        <v>1.5</v>
      </c>
      <c r="XEZ22" s="7"/>
      <c r="XFA22" s="6"/>
      <c r="XFB22" s="7"/>
    </row>
    <row r="23" spans="1:10 16377:16382" s="26" customFormat="1" ht="19.95" customHeight="1" x14ac:dyDescent="0.25">
      <c r="A23" s="20" t="s">
        <v>19</v>
      </c>
      <c r="B23" s="19" t="s">
        <v>76</v>
      </c>
      <c r="C23" s="24" t="s">
        <v>61</v>
      </c>
      <c r="D23" s="18" t="s">
        <v>79</v>
      </c>
      <c r="E23" s="56" t="s">
        <v>86</v>
      </c>
      <c r="F23" s="18" t="s">
        <v>122</v>
      </c>
      <c r="G23" s="22">
        <v>1</v>
      </c>
      <c r="H23" s="23">
        <v>0.42</v>
      </c>
      <c r="I23" s="23">
        <v>0.5</v>
      </c>
      <c r="J23" s="23">
        <f t="shared" si="0"/>
        <v>0.5</v>
      </c>
      <c r="XEW23" s="6"/>
      <c r="XEX23" s="6"/>
      <c r="XEY23" s="6"/>
      <c r="XEZ23" s="7"/>
      <c r="XFA23" s="6"/>
      <c r="XFB23" s="7"/>
    </row>
    <row r="24" spans="1:10 16377:16382" s="4" customFormat="1" ht="19.95" customHeight="1" x14ac:dyDescent="0.25">
      <c r="A24" s="20" t="s">
        <v>19</v>
      </c>
      <c r="B24" s="19" t="s">
        <v>76</v>
      </c>
      <c r="C24" s="17" t="s">
        <v>62</v>
      </c>
      <c r="D24" s="18" t="s">
        <v>63</v>
      </c>
      <c r="E24" s="56">
        <v>25952</v>
      </c>
      <c r="F24" s="18" t="s">
        <v>64</v>
      </c>
      <c r="G24" s="22">
        <v>1</v>
      </c>
      <c r="H24" s="23">
        <v>21.25</v>
      </c>
      <c r="I24" s="23">
        <v>25.5</v>
      </c>
      <c r="J24" s="23">
        <f t="shared" si="0"/>
        <v>25.5</v>
      </c>
      <c r="XEZ24" s="7"/>
      <c r="XFA24" s="6"/>
      <c r="XFB24" s="7"/>
    </row>
    <row r="25" spans="1:10 16377:16382" s="4" customFormat="1" ht="19.95" customHeight="1" x14ac:dyDescent="0.25">
      <c r="A25" s="20" t="s">
        <v>19</v>
      </c>
      <c r="B25" s="19" t="s">
        <v>82</v>
      </c>
      <c r="C25" s="41" t="s">
        <v>34</v>
      </c>
      <c r="D25" s="18" t="s">
        <v>72</v>
      </c>
      <c r="E25" s="56">
        <v>11356</v>
      </c>
      <c r="F25" s="18" t="s">
        <v>123</v>
      </c>
      <c r="G25" s="22">
        <v>1</v>
      </c>
      <c r="H25" s="23">
        <v>1.92</v>
      </c>
      <c r="I25" s="23">
        <v>2.2999999999999998</v>
      </c>
      <c r="J25" s="23">
        <f t="shared" si="0"/>
        <v>2.2999999999999998</v>
      </c>
      <c r="XEZ25" s="7"/>
      <c r="XFA25" s="6"/>
      <c r="XFB25" s="7"/>
    </row>
    <row r="26" spans="1:10 16377:16382" s="4" customFormat="1" ht="19.95" customHeight="1" x14ac:dyDescent="0.25">
      <c r="A26" s="20" t="s">
        <v>19</v>
      </c>
      <c r="B26" s="19" t="s">
        <v>80</v>
      </c>
      <c r="C26" s="17" t="s">
        <v>52</v>
      </c>
      <c r="D26" s="18" t="s">
        <v>53</v>
      </c>
      <c r="E26" s="56">
        <v>48918</v>
      </c>
      <c r="F26" s="19" t="s">
        <v>54</v>
      </c>
      <c r="G26" s="22">
        <v>1</v>
      </c>
      <c r="H26" s="23">
        <v>1.83</v>
      </c>
      <c r="I26" s="23">
        <v>2.2000000000000002</v>
      </c>
      <c r="J26" s="23">
        <f t="shared" si="0"/>
        <v>2.2000000000000002</v>
      </c>
      <c r="XEZ26" s="7"/>
      <c r="XFA26" s="6"/>
      <c r="XFB26" s="7"/>
    </row>
    <row r="27" spans="1:10 16377:16382" s="4" customFormat="1" ht="19.95" customHeight="1" x14ac:dyDescent="0.25">
      <c r="A27" s="20" t="s">
        <v>19</v>
      </c>
      <c r="B27" s="19" t="s">
        <v>126</v>
      </c>
      <c r="C27" s="17" t="s">
        <v>130</v>
      </c>
      <c r="D27" s="18" t="s">
        <v>127</v>
      </c>
      <c r="E27" s="56" t="s">
        <v>128</v>
      </c>
      <c r="F27" s="40" t="s">
        <v>129</v>
      </c>
      <c r="G27" s="22">
        <v>1</v>
      </c>
      <c r="H27" s="23">
        <v>0.79</v>
      </c>
      <c r="I27" s="23">
        <v>0.95</v>
      </c>
      <c r="J27" s="23">
        <f t="shared" si="0"/>
        <v>0.95</v>
      </c>
      <c r="XEZ27" s="7"/>
      <c r="XFA27" s="6"/>
      <c r="XFB27" s="7"/>
    </row>
    <row r="28" spans="1:10 16377:16382" s="4" customFormat="1" ht="19.95" customHeight="1" x14ac:dyDescent="0.25">
      <c r="A28" s="20" t="s">
        <v>19</v>
      </c>
      <c r="B28" s="19" t="s">
        <v>126</v>
      </c>
      <c r="C28" s="17" t="s">
        <v>131</v>
      </c>
      <c r="D28" s="18" t="s">
        <v>132</v>
      </c>
      <c r="E28" s="56" t="s">
        <v>133</v>
      </c>
      <c r="F28" s="40" t="s">
        <v>134</v>
      </c>
      <c r="G28" s="22">
        <v>1</v>
      </c>
      <c r="H28" s="23">
        <v>0.79</v>
      </c>
      <c r="I28" s="23">
        <v>0.95</v>
      </c>
      <c r="J28" s="23">
        <f t="shared" si="0"/>
        <v>0.95</v>
      </c>
      <c r="XEZ28" s="7"/>
      <c r="XFA28" s="6"/>
      <c r="XFB28" s="7"/>
    </row>
    <row r="29" spans="1:10 16377:16382" s="4" customFormat="1" ht="19.95" customHeight="1" x14ac:dyDescent="0.25">
      <c r="A29" s="20" t="s">
        <v>19</v>
      </c>
      <c r="B29" s="19" t="s">
        <v>126</v>
      </c>
      <c r="C29" s="17" t="s">
        <v>138</v>
      </c>
      <c r="D29" s="18" t="s">
        <v>135</v>
      </c>
      <c r="E29" s="56" t="s">
        <v>136</v>
      </c>
      <c r="F29" s="40" t="s">
        <v>137</v>
      </c>
      <c r="G29" s="22">
        <v>1</v>
      </c>
      <c r="H29" s="23">
        <v>3.92</v>
      </c>
      <c r="I29" s="23">
        <v>4.7</v>
      </c>
      <c r="J29" s="23">
        <f t="shared" si="0"/>
        <v>4.7</v>
      </c>
      <c r="XEZ29" s="7"/>
      <c r="XFA29" s="6"/>
      <c r="XFB29" s="7"/>
    </row>
    <row r="30" spans="1:10 16377:16382" s="4" customFormat="1" ht="19.95" customHeight="1" x14ac:dyDescent="0.25">
      <c r="A30" s="20" t="s">
        <v>19</v>
      </c>
      <c r="B30" s="19" t="s">
        <v>126</v>
      </c>
      <c r="C30" s="17" t="s">
        <v>141</v>
      </c>
      <c r="D30" s="18" t="s">
        <v>139</v>
      </c>
      <c r="E30" s="56" t="s">
        <v>142</v>
      </c>
      <c r="F30" s="40" t="s">
        <v>140</v>
      </c>
      <c r="G30" s="22">
        <v>1</v>
      </c>
      <c r="H30" s="23">
        <v>3.92</v>
      </c>
      <c r="I30" s="23">
        <v>4.7</v>
      </c>
      <c r="J30" s="23">
        <f t="shared" si="0"/>
        <v>4.7</v>
      </c>
      <c r="XEZ30" s="7"/>
      <c r="XFA30" s="6"/>
      <c r="XFB30" s="7"/>
    </row>
    <row r="31" spans="1:10 16377:16382" s="4" customFormat="1" ht="19.95" customHeight="1" x14ac:dyDescent="0.25">
      <c r="A31" s="20" t="s">
        <v>19</v>
      </c>
      <c r="B31" s="19" t="s">
        <v>126</v>
      </c>
      <c r="C31" s="17" t="s">
        <v>149</v>
      </c>
      <c r="D31" s="18" t="s">
        <v>143</v>
      </c>
      <c r="E31" s="56" t="s">
        <v>145</v>
      </c>
      <c r="F31" s="40" t="s">
        <v>144</v>
      </c>
      <c r="G31" s="22">
        <v>1</v>
      </c>
      <c r="H31" s="23">
        <v>0.96</v>
      </c>
      <c r="I31" s="23">
        <v>1.1499999999999999</v>
      </c>
      <c r="J31" s="23">
        <f t="shared" si="0"/>
        <v>1.1499999999999999</v>
      </c>
      <c r="XEZ31" s="7"/>
      <c r="XFA31" s="6"/>
      <c r="XFB31" s="7"/>
    </row>
    <row r="32" spans="1:10 16377:16382" s="4" customFormat="1" ht="19.95" customHeight="1" x14ac:dyDescent="0.25">
      <c r="A32" s="20" t="s">
        <v>19</v>
      </c>
      <c r="B32" s="19" t="s">
        <v>126</v>
      </c>
      <c r="C32" s="17" t="s">
        <v>150</v>
      </c>
      <c r="D32" s="18" t="s">
        <v>146</v>
      </c>
      <c r="E32" s="56" t="s">
        <v>148</v>
      </c>
      <c r="F32" s="40" t="s">
        <v>147</v>
      </c>
      <c r="G32" s="22">
        <v>1</v>
      </c>
      <c r="H32" s="23">
        <v>0.96</v>
      </c>
      <c r="I32" s="23">
        <v>1.1499999999999999</v>
      </c>
      <c r="J32" s="23">
        <f t="shared" si="0"/>
        <v>1.1499999999999999</v>
      </c>
      <c r="XEZ32" s="7"/>
      <c r="XFA32" s="6"/>
      <c r="XFB32" s="7"/>
    </row>
    <row r="33" spans="1:10 16377:16382" s="4" customFormat="1" ht="19.95" customHeight="1" x14ac:dyDescent="0.25">
      <c r="A33" s="20" t="s">
        <v>19</v>
      </c>
      <c r="B33" s="19" t="s">
        <v>82</v>
      </c>
      <c r="C33" s="41" t="s">
        <v>33</v>
      </c>
      <c r="D33" s="18" t="s">
        <v>168</v>
      </c>
      <c r="E33" s="56" t="s">
        <v>169</v>
      </c>
      <c r="F33" s="40" t="s">
        <v>170</v>
      </c>
      <c r="G33" s="22">
        <v>1</v>
      </c>
      <c r="H33" s="23">
        <v>21.58</v>
      </c>
      <c r="I33" s="23">
        <v>25.9</v>
      </c>
      <c r="J33" s="23">
        <f t="shared" ref="J33:J37" si="2">G33*I33</f>
        <v>25.9</v>
      </c>
      <c r="XEZ33" s="7"/>
      <c r="XFA33" s="6"/>
      <c r="XFB33" s="7"/>
    </row>
    <row r="34" spans="1:10 16377:16382" s="4" customFormat="1" ht="19.95" customHeight="1" x14ac:dyDescent="0.25">
      <c r="A34" s="20" t="s">
        <v>19</v>
      </c>
      <c r="B34" s="19" t="s">
        <v>99</v>
      </c>
      <c r="C34" s="41" t="s">
        <v>174</v>
      </c>
      <c r="D34" s="18" t="s">
        <v>175</v>
      </c>
      <c r="E34" s="56" t="s">
        <v>176</v>
      </c>
      <c r="F34" s="40" t="s">
        <v>177</v>
      </c>
      <c r="G34" s="22">
        <v>1</v>
      </c>
      <c r="H34" s="23">
        <v>14.12</v>
      </c>
      <c r="I34" s="23">
        <v>16.95</v>
      </c>
      <c r="J34" s="23">
        <f t="shared" si="2"/>
        <v>16.95</v>
      </c>
      <c r="XEZ34" s="7"/>
      <c r="XFA34" s="6"/>
      <c r="XFB34" s="7"/>
    </row>
    <row r="35" spans="1:10 16377:16382" s="4" customFormat="1" ht="19.95" customHeight="1" x14ac:dyDescent="0.25">
      <c r="A35" s="20" t="s">
        <v>19</v>
      </c>
      <c r="B35" s="19" t="s">
        <v>180</v>
      </c>
      <c r="C35" s="41" t="s">
        <v>179</v>
      </c>
      <c r="D35" s="18" t="s">
        <v>178</v>
      </c>
      <c r="E35" s="56" t="s">
        <v>181</v>
      </c>
      <c r="F35" s="40" t="s">
        <v>182</v>
      </c>
      <c r="G35" s="22">
        <v>2</v>
      </c>
      <c r="H35" s="23">
        <v>0.25</v>
      </c>
      <c r="I35" s="23">
        <v>0.3</v>
      </c>
      <c r="J35" s="23">
        <f t="shared" si="2"/>
        <v>0.6</v>
      </c>
      <c r="XEZ35" s="7"/>
      <c r="XFA35" s="6"/>
      <c r="XFB35" s="7"/>
    </row>
    <row r="36" spans="1:10 16377:16382" s="4" customFormat="1" ht="19.95" customHeight="1" x14ac:dyDescent="0.25">
      <c r="A36" s="20"/>
      <c r="B36" s="19"/>
      <c r="C36" s="41"/>
      <c r="D36" s="18"/>
      <c r="E36" s="19"/>
      <c r="F36" s="40"/>
      <c r="G36" s="22"/>
      <c r="H36" s="23"/>
      <c r="I36" s="23"/>
      <c r="J36" s="23">
        <f t="shared" si="2"/>
        <v>0</v>
      </c>
      <c r="XEZ36" s="7"/>
      <c r="XFA36" s="6"/>
      <c r="XFB36" s="7"/>
    </row>
    <row r="37" spans="1:10 16377:16382" s="4" customFormat="1" ht="19.95" customHeight="1" x14ac:dyDescent="0.25">
      <c r="A37" s="48" t="s">
        <v>75</v>
      </c>
      <c r="B37" s="19"/>
      <c r="C37" s="24"/>
      <c r="D37" s="18"/>
      <c r="E37" s="19"/>
      <c r="F37" s="18"/>
      <c r="G37" s="22"/>
      <c r="H37" s="32"/>
      <c r="I37" s="23"/>
      <c r="J37" s="23">
        <f t="shared" si="2"/>
        <v>0</v>
      </c>
      <c r="XEW37" s="6"/>
      <c r="XEX37" s="6"/>
      <c r="XEY37" s="6"/>
      <c r="XEZ37" s="7"/>
      <c r="XFA37" s="6"/>
      <c r="XFB37" s="7"/>
    </row>
    <row r="38" spans="1:10 16377:16382" s="4" customFormat="1" ht="19.95" customHeight="1" x14ac:dyDescent="0.25">
      <c r="A38" s="20" t="s">
        <v>17</v>
      </c>
      <c r="B38" s="19" t="s">
        <v>84</v>
      </c>
      <c r="C38" s="24" t="s">
        <v>15</v>
      </c>
      <c r="D38" s="18" t="s">
        <v>16</v>
      </c>
      <c r="E38" s="19"/>
      <c r="F38" s="40" t="s">
        <v>18</v>
      </c>
      <c r="G38" s="22">
        <v>1</v>
      </c>
      <c r="H38" s="32"/>
      <c r="I38" s="23">
        <v>260</v>
      </c>
      <c r="J38" s="23">
        <f t="shared" si="0"/>
        <v>260</v>
      </c>
      <c r="XEZ38" s="7"/>
      <c r="XFA38" s="6"/>
      <c r="XFB38" s="7"/>
    </row>
    <row r="39" spans="1:10 16377:16382" s="4" customFormat="1" ht="19.95" customHeight="1" x14ac:dyDescent="0.25">
      <c r="A39" s="20"/>
      <c r="B39" s="19"/>
      <c r="C39" s="24"/>
      <c r="D39" s="18"/>
      <c r="E39" s="19"/>
      <c r="F39" s="18"/>
      <c r="G39" s="22"/>
      <c r="H39" s="32"/>
      <c r="I39" s="23"/>
      <c r="J39" s="23">
        <f t="shared" si="0"/>
        <v>0</v>
      </c>
      <c r="XEW39" s="6"/>
      <c r="XEX39" s="6"/>
      <c r="XEY39" s="6"/>
      <c r="XEZ39" s="7"/>
      <c r="XFA39" s="6"/>
      <c r="XFB39" s="7"/>
    </row>
    <row r="40" spans="1:10 16377:16382" s="4" customFormat="1" ht="19.95" customHeight="1" x14ac:dyDescent="0.25">
      <c r="A40" s="48" t="s">
        <v>101</v>
      </c>
      <c r="B40" s="19"/>
      <c r="C40" s="24"/>
      <c r="D40" s="18"/>
      <c r="E40" s="19"/>
      <c r="F40" s="18"/>
      <c r="G40" s="22"/>
      <c r="H40" s="32"/>
      <c r="I40" s="23"/>
      <c r="J40" s="23">
        <f t="shared" si="0"/>
        <v>0</v>
      </c>
      <c r="XEW40" s="6"/>
      <c r="XEX40" s="6"/>
      <c r="XEY40" s="6"/>
      <c r="XEZ40" s="7"/>
      <c r="XFA40" s="6"/>
      <c r="XFB40" s="7"/>
    </row>
    <row r="41" spans="1:10 16377:16382" s="4" customFormat="1" ht="19.95" customHeight="1" x14ac:dyDescent="0.25">
      <c r="A41" s="20" t="s">
        <v>102</v>
      </c>
      <c r="B41" s="19" t="s">
        <v>84</v>
      </c>
      <c r="C41" s="24" t="s">
        <v>103</v>
      </c>
      <c r="D41" s="18" t="s">
        <v>104</v>
      </c>
      <c r="E41" s="19" t="s">
        <v>105</v>
      </c>
      <c r="F41" s="40" t="s">
        <v>106</v>
      </c>
      <c r="G41" s="22">
        <v>1</v>
      </c>
      <c r="H41" s="32">
        <v>67.790000000000006</v>
      </c>
      <c r="I41" s="23">
        <v>81.34</v>
      </c>
      <c r="J41" s="23">
        <f t="shared" si="0"/>
        <v>81.34</v>
      </c>
      <c r="XEW41" s="6"/>
      <c r="XEX41" s="6"/>
      <c r="XEY41" s="6"/>
      <c r="XEZ41" s="7"/>
      <c r="XFA41" s="6"/>
      <c r="XFB41" s="7"/>
    </row>
    <row r="42" spans="1:10 16377:16382" s="4" customFormat="1" ht="19.95" customHeight="1" x14ac:dyDescent="0.25">
      <c r="A42" s="20" t="s">
        <v>102</v>
      </c>
      <c r="B42" s="19" t="s">
        <v>84</v>
      </c>
      <c r="C42" s="24" t="s">
        <v>107</v>
      </c>
      <c r="D42" s="18" t="s">
        <v>108</v>
      </c>
      <c r="E42" s="19" t="s">
        <v>109</v>
      </c>
      <c r="F42" s="40" t="s">
        <v>110</v>
      </c>
      <c r="G42" s="22">
        <v>2</v>
      </c>
      <c r="H42" s="32">
        <v>1.96</v>
      </c>
      <c r="I42" s="23">
        <v>2.35</v>
      </c>
      <c r="J42" s="23">
        <f t="shared" si="0"/>
        <v>4.7</v>
      </c>
      <c r="XEW42" s="6"/>
      <c r="XEX42" s="6"/>
      <c r="XEY42" s="6"/>
      <c r="XEZ42" s="7"/>
      <c r="XFA42" s="6"/>
      <c r="XFB42" s="7"/>
    </row>
    <row r="43" spans="1:10 16377:16382" s="4" customFormat="1" ht="19.95" customHeight="1" x14ac:dyDescent="0.25">
      <c r="A43" s="20" t="s">
        <v>102</v>
      </c>
      <c r="B43" s="19" t="s">
        <v>99</v>
      </c>
      <c r="C43" s="24" t="s">
        <v>112</v>
      </c>
      <c r="D43" s="18" t="s">
        <v>113</v>
      </c>
      <c r="E43" s="19" t="s">
        <v>114</v>
      </c>
      <c r="F43" s="40" t="s">
        <v>111</v>
      </c>
      <c r="G43" s="22">
        <v>1</v>
      </c>
      <c r="H43" s="32">
        <v>57.31</v>
      </c>
      <c r="I43" s="23">
        <v>68.77</v>
      </c>
      <c r="J43" s="23">
        <f>G43*I43</f>
        <v>68.77</v>
      </c>
      <c r="XEW43" s="6"/>
      <c r="XEX43" s="6"/>
      <c r="XEY43" s="6"/>
      <c r="XEZ43" s="7"/>
      <c r="XFA43" s="6"/>
      <c r="XFB43" s="7"/>
    </row>
    <row r="44" spans="1:10 16377:16382" s="4" customFormat="1" ht="19.95" customHeight="1" x14ac:dyDescent="0.25">
      <c r="A44" s="20"/>
      <c r="B44" s="19"/>
      <c r="C44" s="24"/>
      <c r="D44" s="18"/>
      <c r="E44" s="19"/>
      <c r="F44" s="18"/>
      <c r="G44" s="22"/>
      <c r="H44" s="32"/>
      <c r="I44" s="23"/>
      <c r="J44" s="23">
        <f t="shared" si="0"/>
        <v>0</v>
      </c>
      <c r="XEW44" s="6"/>
      <c r="XEX44" s="6"/>
      <c r="XEY44" s="6"/>
      <c r="XEZ44" s="7"/>
      <c r="XFA44" s="6"/>
      <c r="XFB44" s="7"/>
    </row>
    <row r="45" spans="1:10 16377:16382" s="15" customFormat="1" ht="19.95" customHeight="1" x14ac:dyDescent="0.3">
      <c r="A45" s="47" t="s">
        <v>74</v>
      </c>
      <c r="B45" s="45"/>
      <c r="C45" s="45"/>
      <c r="D45" s="45"/>
      <c r="E45" s="45"/>
      <c r="F45" s="45"/>
      <c r="G45" s="45"/>
      <c r="H45" s="46"/>
      <c r="I45" s="46"/>
      <c r="J45" s="23">
        <f t="shared" si="0"/>
        <v>0</v>
      </c>
      <c r="XEZ45" s="7"/>
      <c r="XFA45" s="16"/>
      <c r="XFB45" s="7"/>
    </row>
    <row r="46" spans="1:10 16377:16382" s="4" customFormat="1" ht="19.95" customHeight="1" x14ac:dyDescent="0.25">
      <c r="A46" s="20" t="s">
        <v>29</v>
      </c>
      <c r="B46" s="19" t="s">
        <v>83</v>
      </c>
      <c r="C46" s="41" t="s">
        <v>32</v>
      </c>
      <c r="D46" s="18" t="s">
        <v>124</v>
      </c>
      <c r="E46" s="19"/>
      <c r="F46" s="40" t="s">
        <v>125</v>
      </c>
      <c r="G46" s="22">
        <v>1</v>
      </c>
      <c r="H46" s="23"/>
      <c r="I46" s="23">
        <v>15.99</v>
      </c>
      <c r="J46" s="23">
        <f t="shared" si="0"/>
        <v>15.99</v>
      </c>
      <c r="XEZ46" s="7"/>
      <c r="XFA46" s="6"/>
      <c r="XFB46" s="7"/>
    </row>
    <row r="47" spans="1:10 16377:16382" s="4" customFormat="1" ht="19.95" customHeight="1" x14ac:dyDescent="0.25">
      <c r="A47" s="20" t="s">
        <v>29</v>
      </c>
      <c r="B47" s="19" t="s">
        <v>80</v>
      </c>
      <c r="C47" s="17" t="s">
        <v>43</v>
      </c>
      <c r="D47" s="18" t="s">
        <v>44</v>
      </c>
      <c r="E47" s="19"/>
      <c r="F47" s="40" t="s">
        <v>45</v>
      </c>
      <c r="G47" s="22">
        <v>1</v>
      </c>
      <c r="H47" s="23"/>
      <c r="I47" s="23">
        <v>17.38</v>
      </c>
      <c r="J47" s="23">
        <f t="shared" si="0"/>
        <v>17.38</v>
      </c>
      <c r="XEZ47" s="7"/>
      <c r="XFA47" s="6"/>
      <c r="XFB47" s="7"/>
    </row>
    <row r="48" spans="1:10 16377:16382" s="4" customFormat="1" ht="19.95" customHeight="1" x14ac:dyDescent="0.25">
      <c r="A48" s="20" t="s">
        <v>29</v>
      </c>
      <c r="B48" s="19" t="s">
        <v>82</v>
      </c>
      <c r="C48" s="17" t="s">
        <v>46</v>
      </c>
      <c r="D48" s="18" t="s">
        <v>47</v>
      </c>
      <c r="E48" s="19"/>
      <c r="F48" s="40" t="s">
        <v>48</v>
      </c>
      <c r="G48" s="22">
        <v>1</v>
      </c>
      <c r="H48" s="23"/>
      <c r="I48" s="23">
        <v>9.99</v>
      </c>
      <c r="J48" s="23">
        <f t="shared" si="0"/>
        <v>9.99</v>
      </c>
      <c r="XEZ48" s="7"/>
      <c r="XFA48" s="6"/>
      <c r="XFB48" s="7"/>
    </row>
    <row r="49" spans="1:10 16380:16382" s="4" customFormat="1" ht="19.95" customHeight="1" x14ac:dyDescent="0.25">
      <c r="A49" s="20" t="s">
        <v>29</v>
      </c>
      <c r="B49" s="19" t="s">
        <v>82</v>
      </c>
      <c r="C49" s="17" t="s">
        <v>49</v>
      </c>
      <c r="D49" s="18" t="s">
        <v>50</v>
      </c>
      <c r="E49" s="19"/>
      <c r="F49" s="40" t="s">
        <v>51</v>
      </c>
      <c r="G49" s="22">
        <v>1</v>
      </c>
      <c r="H49" s="23"/>
      <c r="I49" s="23">
        <v>14.99</v>
      </c>
      <c r="J49" s="23">
        <f t="shared" si="0"/>
        <v>14.99</v>
      </c>
      <c r="XEZ49" s="7"/>
      <c r="XFA49" s="6"/>
      <c r="XFB49" s="7"/>
    </row>
    <row r="50" spans="1:10 16380:16382" s="4" customFormat="1" ht="19.95" customHeight="1" x14ac:dyDescent="0.25">
      <c r="A50" s="20" t="s">
        <v>29</v>
      </c>
      <c r="B50" s="19" t="s">
        <v>83</v>
      </c>
      <c r="C50" s="17" t="s">
        <v>89</v>
      </c>
      <c r="D50" s="18" t="s">
        <v>88</v>
      </c>
      <c r="E50" s="19"/>
      <c r="F50" s="40" t="s">
        <v>87</v>
      </c>
      <c r="G50" s="22">
        <v>1</v>
      </c>
      <c r="H50" s="23"/>
      <c r="I50" s="23">
        <v>35.99</v>
      </c>
      <c r="J50" s="23">
        <f t="shared" si="0"/>
        <v>35.99</v>
      </c>
      <c r="XEZ50" s="7"/>
      <c r="XFA50" s="6"/>
      <c r="XFB50" s="7"/>
    </row>
    <row r="51" spans="1:10 16380:16382" s="4" customFormat="1" ht="19.95" customHeight="1" x14ac:dyDescent="0.25">
      <c r="A51" s="20" t="s">
        <v>29</v>
      </c>
      <c r="B51" s="19" t="s">
        <v>82</v>
      </c>
      <c r="C51" s="24" t="s">
        <v>30</v>
      </c>
      <c r="D51" s="18" t="s">
        <v>96</v>
      </c>
      <c r="E51" s="19"/>
      <c r="F51" s="40" t="s">
        <v>31</v>
      </c>
      <c r="G51" s="22">
        <v>1</v>
      </c>
      <c r="H51" s="23"/>
      <c r="I51" s="23">
        <v>11.89</v>
      </c>
      <c r="J51" s="23">
        <f t="shared" si="0"/>
        <v>11.89</v>
      </c>
      <c r="XEZ51" s="7"/>
      <c r="XFA51" s="6"/>
      <c r="XFB51" s="7"/>
    </row>
    <row r="52" spans="1:10 16380:16382" s="4" customFormat="1" ht="19.95" customHeight="1" x14ac:dyDescent="0.25">
      <c r="A52" s="20" t="s">
        <v>29</v>
      </c>
      <c r="B52" s="19" t="s">
        <v>99</v>
      </c>
      <c r="C52" s="24" t="s">
        <v>98</v>
      </c>
      <c r="D52" s="18" t="s">
        <v>97</v>
      </c>
      <c r="E52" s="19"/>
      <c r="F52" s="40" t="s">
        <v>100</v>
      </c>
      <c r="G52" s="22">
        <v>1</v>
      </c>
      <c r="H52" s="23"/>
      <c r="I52" s="23">
        <v>58.99</v>
      </c>
      <c r="J52" s="23">
        <f t="shared" si="0"/>
        <v>58.99</v>
      </c>
      <c r="XEZ52" s="7"/>
      <c r="XFA52" s="6"/>
      <c r="XFB52" s="7"/>
    </row>
    <row r="53" spans="1:10 16380:16382" s="4" customFormat="1" ht="19.95" customHeight="1" x14ac:dyDescent="0.25">
      <c r="A53" s="20" t="s">
        <v>29</v>
      </c>
      <c r="B53" s="19" t="s">
        <v>83</v>
      </c>
      <c r="C53" s="24" t="s">
        <v>173</v>
      </c>
      <c r="D53" s="18" t="s">
        <v>171</v>
      </c>
      <c r="E53" s="19"/>
      <c r="F53" s="40" t="s">
        <v>172</v>
      </c>
      <c r="G53" s="22">
        <v>1</v>
      </c>
      <c r="H53" s="23"/>
      <c r="I53" s="23">
        <v>29.99</v>
      </c>
      <c r="J53" s="23">
        <f t="shared" si="0"/>
        <v>29.99</v>
      </c>
      <c r="XEZ53" s="7"/>
      <c r="XFA53" s="6"/>
      <c r="XFB53" s="7"/>
    </row>
    <row r="54" spans="1:10 16380:16382" s="4" customFormat="1" ht="19.95" customHeight="1" x14ac:dyDescent="0.25">
      <c r="A54" s="20"/>
      <c r="B54" s="19"/>
      <c r="C54" s="24"/>
      <c r="D54" s="18"/>
      <c r="E54" s="19"/>
      <c r="F54" s="40"/>
      <c r="G54" s="22"/>
      <c r="H54" s="23"/>
      <c r="I54" s="23"/>
      <c r="J54" s="23">
        <f>G54*I54</f>
        <v>0</v>
      </c>
      <c r="XEZ54" s="7"/>
      <c r="XFA54" s="6"/>
      <c r="XFB54" s="7"/>
    </row>
    <row r="55" spans="1:10 16380:16382" s="4" customFormat="1" ht="19.95" customHeight="1" x14ac:dyDescent="0.25">
      <c r="A55" s="48" t="s">
        <v>81</v>
      </c>
      <c r="B55" s="19"/>
      <c r="C55" s="41"/>
      <c r="D55" s="42"/>
      <c r="E55" s="19"/>
      <c r="F55" s="18"/>
      <c r="G55" s="22"/>
      <c r="H55" s="23"/>
      <c r="I55" s="43"/>
      <c r="J55" s="23">
        <f t="shared" si="0"/>
        <v>0</v>
      </c>
      <c r="XEZ55" s="7"/>
      <c r="XFA55" s="6"/>
      <c r="XFB55" s="7"/>
    </row>
    <row r="56" spans="1:10 16380:16382" s="7" customFormat="1" ht="19.95" customHeight="1" x14ac:dyDescent="0.25">
      <c r="A56" s="36" t="s">
        <v>37</v>
      </c>
      <c r="B56" s="55" t="s">
        <v>80</v>
      </c>
      <c r="C56" s="27" t="s">
        <v>35</v>
      </c>
      <c r="D56" s="34" t="s">
        <v>36</v>
      </c>
      <c r="E56" s="35"/>
      <c r="F56" s="28" t="s">
        <v>38</v>
      </c>
      <c r="G56" s="36">
        <v>9</v>
      </c>
      <c r="H56" s="30">
        <v>7.08</v>
      </c>
      <c r="I56" s="49">
        <f>H56*1.2</f>
        <v>8.4960000000000004</v>
      </c>
      <c r="J56" s="23">
        <f t="shared" si="0"/>
        <v>76.463999999999999</v>
      </c>
      <c r="XFA56" s="6"/>
    </row>
    <row r="57" spans="1:10 16380:16382" s="7" customFormat="1" ht="19.95" customHeight="1" x14ac:dyDescent="0.25">
      <c r="A57" s="36"/>
      <c r="B57" s="35"/>
      <c r="C57" s="27"/>
      <c r="D57" s="34"/>
      <c r="E57" s="35"/>
      <c r="F57" s="28"/>
      <c r="G57" s="36"/>
      <c r="H57" s="30"/>
      <c r="I57" s="49"/>
      <c r="J57" s="23">
        <f t="shared" si="0"/>
        <v>0</v>
      </c>
      <c r="XFA57" s="6"/>
    </row>
    <row r="58" spans="1:10 16380:16382" s="4" customFormat="1" ht="19.95" customHeight="1" x14ac:dyDescent="0.25">
      <c r="A58" s="48" t="s">
        <v>41</v>
      </c>
      <c r="B58" s="33"/>
      <c r="C58" s="17"/>
      <c r="D58" s="18"/>
      <c r="E58" s="33"/>
      <c r="F58" s="18"/>
      <c r="G58" s="22"/>
      <c r="H58" s="23"/>
      <c r="I58" s="50"/>
      <c r="J58" s="23">
        <f t="shared" si="0"/>
        <v>0</v>
      </c>
      <c r="XEZ58" s="7"/>
      <c r="XFA58" s="6"/>
      <c r="XFB58" s="7"/>
    </row>
    <row r="59" spans="1:10 16380:16382" s="4" customFormat="1" ht="19.95" customHeight="1" x14ac:dyDescent="0.25">
      <c r="A59" s="20" t="s">
        <v>41</v>
      </c>
      <c r="B59" s="33" t="s">
        <v>80</v>
      </c>
      <c r="C59" s="17" t="s">
        <v>39</v>
      </c>
      <c r="D59" s="18" t="s">
        <v>40</v>
      </c>
      <c r="E59" s="33"/>
      <c r="F59" s="18" t="s">
        <v>42</v>
      </c>
      <c r="G59" s="22">
        <v>1</v>
      </c>
      <c r="H59" s="23"/>
      <c r="I59" s="50">
        <v>2.0499999999999998</v>
      </c>
      <c r="J59" s="23">
        <f t="shared" si="0"/>
        <v>2.0499999999999998</v>
      </c>
      <c r="XEZ59" s="7"/>
      <c r="XFA59" s="6"/>
      <c r="XFB59" s="7"/>
    </row>
    <row r="60" spans="1:10 16380:16382" s="7" customFormat="1" ht="19.95" customHeight="1" x14ac:dyDescent="0.25">
      <c r="A60" s="35"/>
      <c r="B60" s="35"/>
      <c r="C60" s="37"/>
      <c r="D60" s="38"/>
      <c r="E60" s="35"/>
      <c r="F60" s="38"/>
      <c r="G60" s="35"/>
      <c r="H60" s="35"/>
      <c r="I60" s="43"/>
      <c r="J60" s="23">
        <f t="shared" si="0"/>
        <v>0</v>
      </c>
    </row>
    <row r="61" spans="1:10 16380:16382" s="4" customFormat="1" ht="19.95" customHeight="1" x14ac:dyDescent="0.25">
      <c r="B61" s="2"/>
      <c r="D61" s="2"/>
      <c r="E61" s="2"/>
      <c r="F61" s="2"/>
      <c r="H61" s="5"/>
      <c r="I61" s="39"/>
      <c r="J61" s="5"/>
      <c r="XEZ61" s="7"/>
      <c r="XFA61" s="6"/>
      <c r="XFB61" s="7"/>
    </row>
    <row r="62" spans="1:10 16380:16382" s="4" customFormat="1" x14ac:dyDescent="0.25">
      <c r="B62" s="2"/>
      <c r="D62" s="2"/>
      <c r="E62" s="2"/>
      <c r="F62" s="2"/>
      <c r="H62" s="5"/>
      <c r="I62" s="5"/>
      <c r="J62" s="5"/>
      <c r="XEZ62" s="7"/>
      <c r="XFA62" s="6"/>
      <c r="XFB62" s="7"/>
    </row>
    <row r="63" spans="1:10 16380:16382" s="4" customFormat="1" x14ac:dyDescent="0.25">
      <c r="B63" s="2"/>
      <c r="D63" s="2"/>
      <c r="E63" s="2"/>
      <c r="F63" s="2"/>
      <c r="H63" s="5"/>
      <c r="I63" s="5"/>
      <c r="J63" s="5"/>
      <c r="XEZ63" s="7"/>
      <c r="XFA63" s="6"/>
      <c r="XFB63" s="7"/>
    </row>
    <row r="64" spans="1:10 16380:16382" s="4" customFormat="1" x14ac:dyDescent="0.25">
      <c r="B64" s="2"/>
      <c r="D64" s="2"/>
      <c r="E64" s="2"/>
      <c r="F64" s="2"/>
      <c r="H64" s="5"/>
      <c r="I64" s="5"/>
      <c r="J64" s="5"/>
      <c r="XEZ64" s="7"/>
      <c r="XFA64" s="6"/>
      <c r="XFB64" s="7"/>
    </row>
    <row r="65" spans="2:10 16377:16382" s="4" customFormat="1" x14ac:dyDescent="0.25">
      <c r="B65" s="2"/>
      <c r="D65" s="2"/>
      <c r="E65" s="2"/>
      <c r="F65" s="2"/>
      <c r="H65" s="5"/>
      <c r="I65" s="5"/>
      <c r="J65" s="5"/>
      <c r="XEZ65" s="7"/>
      <c r="XFA65" s="6"/>
      <c r="XFB65" s="7"/>
    </row>
    <row r="66" spans="2:10 16377:16382" s="4" customFormat="1" x14ac:dyDescent="0.25">
      <c r="B66" s="2"/>
      <c r="D66" s="2"/>
      <c r="E66" s="2"/>
      <c r="F66" s="2"/>
      <c r="H66" s="5"/>
      <c r="I66" s="5"/>
      <c r="J66" s="5"/>
      <c r="XEZ66" s="7"/>
      <c r="XFA66" s="6"/>
      <c r="XFB66" s="7"/>
    </row>
    <row r="67" spans="2:10 16377:16382" s="4" customFormat="1" x14ac:dyDescent="0.25">
      <c r="B67" s="2"/>
      <c r="D67" s="2"/>
      <c r="E67" s="2"/>
      <c r="F67" s="2"/>
      <c r="H67" s="5"/>
      <c r="I67" s="5"/>
      <c r="J67" s="5"/>
      <c r="XEZ67" s="7"/>
      <c r="XFA67" s="6"/>
      <c r="XFB67" s="7"/>
    </row>
    <row r="68" spans="2:10 16377:16382" x14ac:dyDescent="0.25">
      <c r="XEW68" s="4"/>
      <c r="XEX68" s="4"/>
      <c r="XEY68" s="4"/>
    </row>
    <row r="69" spans="2:10 16377:16382" x14ac:dyDescent="0.25">
      <c r="XEW69" s="4"/>
      <c r="XEX69" s="4"/>
      <c r="XEY69" s="4"/>
    </row>
    <row r="70" spans="2:10 16377:16382" x14ac:dyDescent="0.25">
      <c r="XEW70" s="4"/>
      <c r="XEX70" s="4"/>
      <c r="XEY70" s="4"/>
    </row>
    <row r="71" spans="2:10 16377:16382" x14ac:dyDescent="0.25">
      <c r="XEW71" s="4"/>
      <c r="XEX71" s="4"/>
      <c r="XEY71" s="4"/>
    </row>
    <row r="72" spans="2:10 16377:16382" x14ac:dyDescent="0.25">
      <c r="XEW72" s="4"/>
      <c r="XEX72" s="4"/>
      <c r="XEY72" s="4"/>
    </row>
    <row r="73" spans="2:10 16377:16382" x14ac:dyDescent="0.25">
      <c r="XEW73" s="4"/>
      <c r="XEX73" s="4"/>
      <c r="XEY73" s="4"/>
    </row>
    <row r="74" spans="2:10 16377:16382" x14ac:dyDescent="0.25">
      <c r="XEW74" s="4"/>
      <c r="XEX74" s="4"/>
      <c r="XEY74" s="4"/>
    </row>
    <row r="75" spans="2:10 16377:16382" x14ac:dyDescent="0.25">
      <c r="XEW75" s="4"/>
      <c r="XEX75" s="4"/>
      <c r="XEY75" s="4"/>
    </row>
    <row r="76" spans="2:10 16377:16382" x14ac:dyDescent="0.25">
      <c r="XEW76" s="4"/>
      <c r="XEX76" s="4"/>
      <c r="XEY76" s="4"/>
    </row>
    <row r="77" spans="2:10 16377:16382" x14ac:dyDescent="0.25">
      <c r="XEW77" s="4"/>
      <c r="XEX77" s="4"/>
      <c r="XEY77" s="4"/>
    </row>
    <row r="78" spans="2:10 16377:16382" x14ac:dyDescent="0.25">
      <c r="XEW78" s="4"/>
      <c r="XEX78" s="4"/>
      <c r="XEY78" s="4"/>
    </row>
    <row r="79" spans="2:10 16377:16382" x14ac:dyDescent="0.25">
      <c r="XEW79" s="4"/>
      <c r="XEX79" s="4"/>
      <c r="XEY79" s="4"/>
    </row>
    <row r="80" spans="2:10 16377:16382" x14ac:dyDescent="0.25">
      <c r="XEW80" s="4"/>
      <c r="XEX80" s="4"/>
      <c r="XEY80" s="4"/>
    </row>
    <row r="81" spans="16377:16379" x14ac:dyDescent="0.25">
      <c r="XEW81" s="4"/>
      <c r="XEX81" s="4"/>
      <c r="XEY81" s="4"/>
    </row>
    <row r="82" spans="16377:16379" x14ac:dyDescent="0.25">
      <c r="XEW82" s="4"/>
      <c r="XEX82" s="4"/>
      <c r="XEY82" s="4"/>
    </row>
    <row r="83" spans="16377:16379" x14ac:dyDescent="0.25">
      <c r="XEW83" s="4"/>
      <c r="XEX83" s="4"/>
      <c r="XEY83" s="4"/>
    </row>
    <row r="84" spans="16377:16379" x14ac:dyDescent="0.25">
      <c r="XEW84" s="4"/>
      <c r="XEX84" s="4"/>
      <c r="XEY84" s="4"/>
    </row>
    <row r="85" spans="16377:16379" x14ac:dyDescent="0.25">
      <c r="XEW85" s="4"/>
      <c r="XEX85" s="4"/>
      <c r="XEY85" s="4"/>
    </row>
    <row r="86" spans="16377:16379" x14ac:dyDescent="0.25">
      <c r="XEW86" s="4"/>
      <c r="XEX86" s="4"/>
      <c r="XEY86" s="4"/>
    </row>
    <row r="87" spans="16377:16379" x14ac:dyDescent="0.25">
      <c r="XEW87" s="4"/>
      <c r="XEX87" s="4"/>
      <c r="XEY87" s="4"/>
    </row>
    <row r="88" spans="16377:16379" x14ac:dyDescent="0.25">
      <c r="XEW88" s="4"/>
      <c r="XEX88" s="4"/>
      <c r="XEY88" s="4"/>
    </row>
    <row r="89" spans="16377:16379" x14ac:dyDescent="0.25">
      <c r="XEW89" s="4"/>
      <c r="XEX89" s="4"/>
      <c r="XEY89" s="4"/>
    </row>
    <row r="90" spans="16377:16379" x14ac:dyDescent="0.25">
      <c r="XEW90" s="4"/>
      <c r="XEX90" s="4"/>
      <c r="XEY90" s="4"/>
    </row>
    <row r="91" spans="16377:16379" x14ac:dyDescent="0.25">
      <c r="XEW91" s="4"/>
      <c r="XEX91" s="4"/>
      <c r="XEY91" s="4"/>
    </row>
    <row r="92" spans="16377:16379" x14ac:dyDescent="0.25">
      <c r="XEW92" s="4"/>
      <c r="XEX92" s="4"/>
      <c r="XEY92" s="4"/>
    </row>
    <row r="93" spans="16377:16379" x14ac:dyDescent="0.25">
      <c r="XEW93" s="4"/>
      <c r="XEX93" s="4"/>
      <c r="XEY93" s="4"/>
    </row>
    <row r="94" spans="16377:16379" x14ac:dyDescent="0.25">
      <c r="XEW94" s="4"/>
      <c r="XEX94" s="4"/>
      <c r="XEY94" s="4"/>
    </row>
    <row r="95" spans="16377:16379" x14ac:dyDescent="0.25">
      <c r="XEW95" s="4"/>
      <c r="XEX95" s="4"/>
      <c r="XEY95" s="4"/>
    </row>
    <row r="96" spans="16377:16379" x14ac:dyDescent="0.25">
      <c r="XEW96" s="4"/>
      <c r="XEX96" s="4"/>
      <c r="XEY96" s="4"/>
    </row>
    <row r="97" spans="16377:16379" x14ac:dyDescent="0.25">
      <c r="XEW97" s="4"/>
      <c r="XEX97" s="4"/>
      <c r="XEY97" s="4"/>
    </row>
    <row r="98" spans="16377:16379" x14ac:dyDescent="0.25">
      <c r="XEW98" s="4"/>
      <c r="XEX98" s="4"/>
      <c r="XEY98" s="4"/>
    </row>
    <row r="99" spans="16377:16379" x14ac:dyDescent="0.25">
      <c r="XEW99" s="4"/>
      <c r="XEX99" s="4"/>
      <c r="XEY99" s="4"/>
    </row>
    <row r="100" spans="16377:16379" x14ac:dyDescent="0.25">
      <c r="XEW100" s="4"/>
      <c r="XEX100" s="4"/>
      <c r="XEY100" s="4"/>
    </row>
    <row r="101" spans="16377:16379" x14ac:dyDescent="0.25">
      <c r="XEW101" s="4"/>
      <c r="XEX101" s="4"/>
      <c r="XEY101" s="4"/>
    </row>
    <row r="102" spans="16377:16379" x14ac:dyDescent="0.25">
      <c r="XEW102" s="4"/>
      <c r="XEX102" s="4"/>
      <c r="XEY102" s="4"/>
    </row>
    <row r="103" spans="16377:16379" x14ac:dyDescent="0.25">
      <c r="XEW103" s="4"/>
      <c r="XEX103" s="4"/>
      <c r="XEY103" s="4"/>
    </row>
    <row r="104" spans="16377:16379" x14ac:dyDescent="0.25">
      <c r="XEW104" s="4"/>
      <c r="XEX104" s="4"/>
      <c r="XEY104" s="4"/>
    </row>
    <row r="105" spans="16377:16379" x14ac:dyDescent="0.25">
      <c r="XEW105" s="4"/>
      <c r="XEX105" s="4"/>
      <c r="XEY105" s="4"/>
    </row>
    <row r="106" spans="16377:16379" x14ac:dyDescent="0.25">
      <c r="XEW106" s="4"/>
      <c r="XEX106" s="4"/>
      <c r="XEY106" s="4"/>
    </row>
    <row r="107" spans="16377:16379" x14ac:dyDescent="0.25">
      <c r="XEW107" s="4"/>
      <c r="XEX107" s="4"/>
      <c r="XEY107" s="4"/>
    </row>
    <row r="108" spans="16377:16379" x14ac:dyDescent="0.25">
      <c r="XEW108" s="4"/>
      <c r="XEX108" s="4"/>
      <c r="XEY108" s="4"/>
    </row>
    <row r="109" spans="16377:16379" x14ac:dyDescent="0.25">
      <c r="XEW109" s="4"/>
      <c r="XEX109" s="4"/>
      <c r="XEY109" s="4"/>
    </row>
    <row r="110" spans="16377:16379" x14ac:dyDescent="0.25">
      <c r="XEW110" s="4"/>
      <c r="XEX110" s="4"/>
      <c r="XEY110" s="4"/>
    </row>
    <row r="111" spans="16377:16379" x14ac:dyDescent="0.25">
      <c r="XEW111" s="4"/>
      <c r="XEX111" s="4"/>
      <c r="XEY111" s="4"/>
    </row>
    <row r="112" spans="16377:16379" x14ac:dyDescent="0.25">
      <c r="XEW112" s="4"/>
      <c r="XEX112" s="4"/>
      <c r="XEY112" s="4"/>
    </row>
    <row r="113" spans="16377:16379" x14ac:dyDescent="0.25">
      <c r="XEW113" s="4"/>
      <c r="XEX113" s="4"/>
      <c r="XEY113" s="4"/>
    </row>
    <row r="114" spans="16377:16379" x14ac:dyDescent="0.25">
      <c r="XEW114" s="4"/>
      <c r="XEX114" s="4"/>
      <c r="XEY114" s="4"/>
    </row>
  </sheetData>
  <mergeCells count="1">
    <mergeCell ref="C1:D1"/>
  </mergeCells>
  <phoneticPr fontId="27" type="noConversion"/>
  <hyperlinks>
    <hyperlink ref="F10" r:id="rId1" xr:uid="{00000000-0004-0000-0000-00000B000000}"/>
    <hyperlink ref="F56" r:id="rId2" xr:uid="{00000000-0004-0000-0000-00002D000000}"/>
    <hyperlink ref="F46" r:id="rId3" xr:uid="{00000000-0004-0000-0000-000015000000}"/>
    <hyperlink ref="F38" r:id="rId4" xr:uid="{BFB26870-5BB8-42FF-8741-2856056A352B}"/>
    <hyperlink ref="F26" r:id="rId5" xr:uid="{DF8E217F-59F6-4C9A-8701-2A1B8851FC16}"/>
    <hyperlink ref="F24" r:id="rId6" xr:uid="{C9A34607-A756-4ACB-9F50-B04E922DDE6B}"/>
    <hyperlink ref="F22" r:id="rId7" xr:uid="{64F96D35-1B54-467E-94A7-D1CF6149899D}"/>
    <hyperlink ref="F21" r:id="rId8" xr:uid="{C71BCB4E-920E-44B9-8E06-77FBBC7EDA38}"/>
    <hyperlink ref="F14" r:id="rId9" xr:uid="{C7AD9874-BDC0-4876-895E-DC67D04E63DF}"/>
    <hyperlink ref="F59" r:id="rId10" xr:uid="{057C4E32-6411-48A0-A955-811607A8685C}"/>
    <hyperlink ref="F47" r:id="rId11" xr:uid="{F3AA9344-D6BB-4645-9AE8-33352B26572B}"/>
    <hyperlink ref="F48" r:id="rId12" xr:uid="{05389B03-51DA-4596-B97A-B05B848B1568}"/>
    <hyperlink ref="F49" r:id="rId13" xr:uid="{673933F5-AE4C-4D19-9FF2-2F59AFC3F5D5}"/>
    <hyperlink ref="F51" r:id="rId14" xr:uid="{44404973-6C89-4028-938B-E5D90DCBE423}"/>
    <hyperlink ref="F52" r:id="rId15" xr:uid="{116D8E0B-3140-4844-85AB-D40FCE69618E}"/>
    <hyperlink ref="F41" r:id="rId16" xr:uid="{82629390-AC3E-4A68-8ECF-BE8FDB39D43D}"/>
    <hyperlink ref="F42" r:id="rId17" xr:uid="{72B86828-AB9A-4008-95E4-0A08BF5226D0}"/>
    <hyperlink ref="F5" r:id="rId18" xr:uid="{06046FFE-A198-4842-A3A9-F2336B8D2333}"/>
    <hyperlink ref="F6" r:id="rId19" xr:uid="{9CB6AAC2-5586-4E44-94B1-FA3F89ADDB3D}"/>
    <hyperlink ref="F7" r:id="rId20" xr:uid="{5A14520F-F507-480E-ADD0-FAC9DE84725D}"/>
    <hyperlink ref="F8" r:id="rId21" xr:uid="{7B85981C-F9AB-454A-B211-1AAC3F35C0B7}"/>
    <hyperlink ref="F9" r:id="rId22" xr:uid="{D91272D4-4E75-44C5-89EB-8ECB9EBC8B1D}"/>
    <hyperlink ref="F11" r:id="rId23" xr:uid="{F09A1A80-4CA8-412D-89F2-C437AA64CE13}"/>
    <hyperlink ref="F12" r:id="rId24" xr:uid="{CF7BCE0F-160E-4D09-B152-316BE8971316}"/>
    <hyperlink ref="F13" r:id="rId25" xr:uid="{177EEFA0-D238-4802-985D-8CA122BEC31A}"/>
    <hyperlink ref="F43" r:id="rId26" xr:uid="{4B3F6B25-94E0-45ED-82D6-44194A5D26CF}"/>
    <hyperlink ref="F50" r:id="rId27" xr:uid="{FB426827-20B6-42F8-9547-93ABC7C5990E}"/>
    <hyperlink ref="F27" r:id="rId28" xr:uid="{CC541A1A-C9A4-4570-8E4D-DD6E429ACE15}"/>
    <hyperlink ref="F28" r:id="rId29" xr:uid="{7628B59D-8DB8-41FD-904D-8ED75673F6EF}"/>
    <hyperlink ref="F29" r:id="rId30" xr:uid="{0B9BEE83-5B73-4D6D-B6A1-885D5D495E64}"/>
    <hyperlink ref="F30" r:id="rId31" xr:uid="{68FCA54B-4433-4DC8-8BE0-08B3D901E5B4}"/>
    <hyperlink ref="F32" r:id="rId32" xr:uid="{51A1F655-D4DB-4FBD-B02E-DD25A8F08C96}"/>
    <hyperlink ref="F19" r:id="rId33" xr:uid="{33D09AD1-3019-4F27-BA7A-86146CC1394B}"/>
    <hyperlink ref="F15" r:id="rId34" xr:uid="{4268AC7F-F98B-454B-99A7-709A890E0067}"/>
    <hyperlink ref="F20" r:id="rId35" xr:uid="{F99B450A-7707-454C-B7F4-FC1814E302DD}"/>
    <hyperlink ref="F33" r:id="rId36" xr:uid="{FCE17CA8-D2EE-4B2B-A840-8C79643E9AA1}"/>
    <hyperlink ref="F53" r:id="rId37" xr:uid="{D269EAF8-32D0-41DA-8AA0-B1E159296A41}"/>
  </hyperlinks>
  <pageMargins left="0.62361111111111101" right="0.58055555555555605" top="0.48958333333333298" bottom="0.57430555555555596" header="0.511811023622047" footer="0.511811023622047"/>
  <pageSetup paperSize="8" scale="42" fitToWidth="0" pageOrder="overThenDown" orientation="portrait" useFirstPageNumber="1" horizontalDpi="300" verticalDpi="300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Liste_Materiel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FAUVARQUE</dc:creator>
  <dc:description/>
  <cp:lastModifiedBy>Olivier FAUVARQUE</cp:lastModifiedBy>
  <cp:revision>154</cp:revision>
  <cp:lastPrinted>2025-09-24T14:23:58Z</cp:lastPrinted>
  <dcterms:created xsi:type="dcterms:W3CDTF">2022-09-30T10:25:47Z</dcterms:created>
  <dcterms:modified xsi:type="dcterms:W3CDTF">2026-01-23T15:10:30Z</dcterms:modified>
  <dc:language>fr-FR</dc:language>
</cp:coreProperties>
</file>